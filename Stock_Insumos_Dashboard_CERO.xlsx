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shboard" sheetId="2" state="visible" r:id="rId4"/>
    <sheet name="Stock" sheetId="3" state="visible" r:id="rId5"/>
    <sheet name="Movimientos" sheetId="4" state="visible" r:id="rId6"/>
    <sheet name="Pedidos" sheetId="5" state="visible" r:id="rId7"/>
    <sheet name="Confi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<sst xmlns="http://schemas.openxmlformats.org/spreadsheetml/2006/main" count="233" uniqueCount="143">
  <si>
    <t xml:space="preserve">📖 CÓMO USAR ESTA PLANILLA</t>
  </si>
  <si>
    <t xml:space="preserve">1. 📊 Dashboard</t>
  </si>
  <si>
    <t xml:space="preserve">Muestra KPIs, costos por servicio y valor del inventario por equipo médico.</t>
  </si>
  <si>
    <t xml:space="preserve">2. 📦 Stock</t>
  </si>
  <si>
    <t xml:space="preserve">Lista maestra de insumos con fotos, stock, precios, y columna 'Estado' con semáforo.</t>
  </si>
  <si>
    <t xml:space="preserve">3. 🔄 Movimientos</t>
  </si>
  <si>
    <t xml:space="preserve">Registra cada entrada/salida: Tipo IN/OUT, Insumo y Servicio desde listas desplegables, Cantidad, Responsable y N° paciente/estudio.</t>
  </si>
  <si>
    <t xml:space="preserve">4. 📝 Pedidos</t>
  </si>
  <si>
    <t xml:space="preserve">Listado automático para pedido de compra. 'Sugerido' calcula reposición según promedio anual vs stock.</t>
  </si>
  <si>
    <t xml:space="preserve">5. ⚙️ Config</t>
  </si>
  <si>
    <t xml:space="preserve">Tipo de cambio ARS/USD y umbral de stock crítico (%). Lista de servicios editable.</t>
  </si>
  <si>
    <t xml:space="preserve">💡 Tip</t>
  </si>
  <si>
    <t xml:space="preserve">Para agregar un insumo: llena una nueva fila en 'Stock' (no olvides el precio). Foto: Insertar &gt; Imagen en la celda Foto.</t>
  </si>
  <si>
    <t xml:space="preserve">🔗 App HTML</t>
  </si>
  <si>
    <t xml:space="preserve">Además de este Excel, tienes la app HTML interactiva (Stock_Insumos_App.html) con las mismas funciones + fotos grandes.</t>
  </si>
  <si>
    <t xml:space="preserve">📊 DASHBOARD — Stock de Insumos</t>
  </si>
  <si>
    <t xml:space="preserve">Actualizado automáticamente desde las hojas Stock y Movimientos</t>
  </si>
  <si>
    <t xml:space="preserve">Total insumos</t>
  </si>
  <si>
    <t xml:space="preserve">Stock crítico</t>
  </si>
  <si>
    <t xml:space="preserve">Valor inv. USD</t>
  </si>
  <si>
    <t xml:space="preserve">Valor inv. ARS</t>
  </si>
  <si>
    <t xml:space="preserve">💰 Costo por servicio (basado en salidas registradas)</t>
  </si>
  <si>
    <t xml:space="preserve">Servicio</t>
  </si>
  <si>
    <t xml:space="preserve">Unidades consumidas</t>
  </si>
  <si>
    <t xml:space="preserve">Costo USD</t>
  </si>
  <si>
    <t xml:space="preserve">Costo ARS</t>
  </si>
  <si>
    <t xml:space="preserve">UTI / Terapia Intensiva</t>
  </si>
  <si>
    <t xml:space="preserve">Laboratorio del Sueño / EEG</t>
  </si>
  <si>
    <t xml:space="preserve">Cardiología / Ergometría</t>
  </si>
  <si>
    <t xml:space="preserve">Consultorios / Emergencias / Quirófano</t>
  </si>
  <si>
    <t xml:space="preserve">Quirófano</t>
  </si>
  <si>
    <t xml:space="preserve">UCO</t>
  </si>
  <si>
    <t xml:space="preserve">TOTAL</t>
  </si>
  <si>
    <t xml:space="preserve">🏥 Valor del inventario por equipo médico</t>
  </si>
  <si>
    <t xml:space="preserve">Equipo médico</t>
  </si>
  <si>
    <t xml:space="preserve">Items</t>
  </si>
  <si>
    <t xml:space="preserve">Stock total</t>
  </si>
  <si>
    <t xml:space="preserve">Valor USD</t>
  </si>
  <si>
    <t xml:space="preserve">Valor ARS</t>
  </si>
  <si>
    <t xml:space="preserve">Alice 6</t>
  </si>
  <si>
    <t xml:space="preserve">Desfibrilador de onda Bifasica Efficia DFM100</t>
  </si>
  <si>
    <t xml:space="preserve">Ecografo</t>
  </si>
  <si>
    <t xml:space="preserve">Estudio del Sueño / EEG</t>
  </si>
  <si>
    <t xml:space="preserve">Estudio del Sueño /EEG</t>
  </si>
  <si>
    <t xml:space="preserve">Holter</t>
  </si>
  <si>
    <t xml:space="preserve">Monitor Mulpiparametrico MX800 / MX450 (Philips)</t>
  </si>
  <si>
    <t xml:space="preserve">Oftalmoscopio</t>
  </si>
  <si>
    <t xml:space="preserve">Otoscopio</t>
  </si>
  <si>
    <t xml:space="preserve">Poligrafo</t>
  </si>
  <si>
    <t xml:space="preserve">Schiller Sana Bike 1000 ERG 911 PLUS</t>
  </si>
  <si>
    <t xml:space="preserve">Tensiometro Digital</t>
  </si>
  <si>
    <t xml:space="preserve">📦 STOCK DE INSUMOS — Lista maestra</t>
  </si>
  <si>
    <t xml:space="preserve">Foto</t>
  </si>
  <si>
    <t xml:space="preserve">ITEM</t>
  </si>
  <si>
    <t xml:space="preserve">Stock</t>
  </si>
  <si>
    <t xml:space="preserve">Estado</t>
  </si>
  <si>
    <t xml:space="preserve">Marca</t>
  </si>
  <si>
    <t xml:space="preserve">Referencia/URL</t>
  </si>
  <si>
    <t xml:space="preserve">Ubicación</t>
  </si>
  <si>
    <t xml:space="preserve">Prom. anual</t>
  </si>
  <si>
    <t xml:space="preserve">Solicitud compra</t>
  </si>
  <si>
    <t xml:space="preserve">Moneda</t>
  </si>
  <si>
    <t xml:space="preserve">Precio (original)</t>
  </si>
  <si>
    <t xml:space="preserve">Precio unit. valor</t>
  </si>
  <si>
    <t xml:space="preserve">Precio USD</t>
  </si>
  <si>
    <t xml:space="preserve">Precio ARS</t>
  </si>
  <si>
    <t xml:space="preserve">Set de 9 Latiguillos para medicion  de 4 canales de EEG</t>
  </si>
  <si>
    <t xml:space="preserve">PHILIPS</t>
  </si>
  <si>
    <t xml:space="preserve">989803180561</t>
  </si>
  <si>
    <t xml:space="preserve">USD</t>
  </si>
  <si>
    <t xml:space="preserve">USD 686,79</t>
  </si>
  <si>
    <t xml:space="preserve">Cable Troncal de 4 canales de EEG 9 derivaciones</t>
  </si>
  <si>
    <t xml:space="preserve">9989803180541</t>
  </si>
  <si>
    <t xml:space="preserve">USD 895,44</t>
  </si>
  <si>
    <t xml:space="preserve">Cable ECG 3 derivaciones M1672A</t>
  </si>
  <si>
    <t xml:space="preserve">USD 177,76</t>
  </si>
  <si>
    <t xml:space="preserve">Cable ECG 5 derivaciones M1644A</t>
  </si>
  <si>
    <t xml:space="preserve">USD 260,31</t>
  </si>
  <si>
    <t xml:space="preserve">Cable ECG troncal de 5 derivaciones M1668A</t>
  </si>
  <si>
    <t xml:space="preserve">USD 271,77</t>
  </si>
  <si>
    <t xml:space="preserve">Cable ECG 3 derivaciones M1673A</t>
  </si>
  <si>
    <t xml:space="preserve">Cable ECG troncal 3 derivaciones M1669A</t>
  </si>
  <si>
    <t xml:space="preserve">USD 212,16</t>
  </si>
  <si>
    <t xml:space="preserve">Cable ECG troncal (5+5) (polígrafo) M1949A</t>
  </si>
  <si>
    <t xml:space="preserve">Manguito PNI Adultos M1574A</t>
  </si>
  <si>
    <t xml:space="preserve">989803104171</t>
  </si>
  <si>
    <t xml:space="preserve">USD 72,29</t>
  </si>
  <si>
    <t xml:space="preserve">Manguito PNI Obeso M1576A</t>
  </si>
  <si>
    <t xml:space="preserve">USD 161,71</t>
  </si>
  <si>
    <t xml:space="preserve">Sensor de temperatura esofagico - rectal 21075A</t>
  </si>
  <si>
    <t xml:space="preserve">USD 349,73</t>
  </si>
  <si>
    <t xml:space="preserve">Sensor SpO2 - M1191BL</t>
  </si>
  <si>
    <t xml:space="preserve">USD 393,3</t>
  </si>
  <si>
    <t xml:space="preserve">Set de cable de EEG 90 cm (5 cables)</t>
  </si>
  <si>
    <t xml:space="preserve">Insumos Hospitalarios | Cardiosistemas SRL</t>
  </si>
  <si>
    <t xml:space="preserve">ARS</t>
  </si>
  <si>
    <t xml:space="preserve">$8000 C/U APROX.</t>
  </si>
  <si>
    <t xml:space="preserve">Set de Latiguillos  EEG  120CM (5 cables)</t>
  </si>
  <si>
    <t xml:space="preserve">$9500 C/U APROX.</t>
  </si>
  <si>
    <t xml:space="preserve">Set de Latiguillos EEG  200CM ( 5 cables)</t>
  </si>
  <si>
    <t xml:space="preserve">$15000 C/U APROX.</t>
  </si>
  <si>
    <t xml:space="preserve">Set de Cable Paciente ECG (7 CABLES) 60CM</t>
  </si>
  <si>
    <t xml:space="preserve">D7-60S</t>
  </si>
  <si>
    <t xml:space="preserve">Set de Cable Paciente ECG (5 CABLES) 90CM</t>
  </si>
  <si>
    <t xml:space="preserve">D5-90S</t>
  </si>
  <si>
    <t xml:space="preserve">Manguito PNI Adult 11 (25-34cm)</t>
  </si>
  <si>
    <t xml:space="preserve">Welch Allyn</t>
  </si>
  <si>
    <t xml:space="preserve">https://conmil.com.ar/es/store/</t>
  </si>
  <si>
    <t xml:space="preserve">Manguito PNI Obeso Adulto 12 (32-43cm)</t>
  </si>
  <si>
    <t xml:space="preserve">Manguito PNI M-L (22-42cm)</t>
  </si>
  <si>
    <t xml:space="preserve">Microlife</t>
  </si>
  <si>
    <t xml:space="preserve">https://www.mercadolibre.com.ar/brazal-universal-para-tensiometro-digital-microlife-2242-cm/up/MLAU383417813?pdp_filters=item_id:MLA1803242736#is_advertising=true&amp;searchVariation=MLAU383417813&amp;backend_model=search-backend&amp;position=5&amp;search_layout=grid&amp;type=pad&amp;tracking_id=0460d4a6-80bc-4ec8-b49a-a1b56ff8d01b&amp;ad_domain=VQCATCORE_LST&amp;ad_position=5&amp;ad_click_id=ODM4ODMyN2ItNmQ2My00MmM1LWI4NzItZmFlMDY5YzYyZGM3</t>
  </si>
  <si>
    <t xml:space="preserve">Manguito PNI Obeso L-XL (32-52cm)</t>
  </si>
  <si>
    <t xml:space="preserve">https://www.mercadolibre.com.ar/brazal-mango-obeso-32-a-52-cm-tensiometro-digital-microlife/up/MLAU307445902#polycard_client=search-desktop&amp;search_layout=grid&amp;position=3&amp;type=product&amp;tracking_id=3d0ed5ab-56be-47de-a74f-90d6ce9b7aa9&amp;wid=MLA915164043&amp;sid=search</t>
  </si>
  <si>
    <t xml:space="preserve">cable de ergonometria</t>
  </si>
  <si>
    <t xml:space="preserve">SCHILLER</t>
  </si>
  <si>
    <t xml:space="preserve">ADAPTADOR FT-1 | Conmil Web</t>
  </si>
  <si>
    <t xml:space="preserve">Cable paciente para cicloergometro</t>
  </si>
  <si>
    <t xml:space="preserve">https://conmil.com.ar/es/producto/cable-paciente-ecg---clip</t>
  </si>
  <si>
    <t xml:space="preserve">Sensor de posisicon de vertical  1078758</t>
  </si>
  <si>
    <t xml:space="preserve">AGIMED</t>
  </si>
  <si>
    <t xml:space="preserve">kit Durabelt zRip 1078925/1073622</t>
  </si>
  <si>
    <t xml:space="preserve">Termisor Oronasal 1078754</t>
  </si>
  <si>
    <t xml:space="preserve">Lámpara LED 3,5V 03100 REF 901181</t>
  </si>
  <si>
    <t xml:space="preserve">Lámpara Halógena 3,5V 04900 REF 901181</t>
  </si>
  <si>
    <t xml:space="preserve">🔄 REGISTRO DE MOVIMIENTOS (Entradas / Salidas)</t>
  </si>
  <si>
    <t xml:space="preserve">Fecha</t>
  </si>
  <si>
    <t xml:space="preserve">Tipo (IN/OUT)</t>
  </si>
  <si>
    <t xml:space="preserve">Cantidad</t>
  </si>
  <si>
    <t xml:space="preserve">Cant*</t>
  </si>
  <si>
    <t xml:space="preserve">Responsable</t>
  </si>
  <si>
    <t xml:space="preserve">Paciente/Estudio</t>
  </si>
  <si>
    <t xml:space="preserve">Subtotal USD</t>
  </si>
  <si>
    <t xml:space="preserve">Subtotal ARS</t>
  </si>
  <si>
    <t xml:space="preserve">Notas</t>
  </si>
  <si>
    <t xml:space="preserve">📝 LISTADO DE PEDIDO DE INSUMOS</t>
  </si>
  <si>
    <t xml:space="preserve">💡 Edita la columna 'Cant. a pedir' para generar tu pedido. 'Sugerido' propone cuánto reponer según promedio anual vs stock.</t>
  </si>
  <si>
    <t xml:space="preserve">⚙️ CONFIGURACIÓN</t>
  </si>
  <si>
    <t xml:space="preserve">Tipo de cambio (ARS por 1 USD):</t>
  </si>
  <si>
    <t xml:space="preserve">SERVICIOS</t>
  </si>
  <si>
    <t xml:space="preserve">Umbral stock crítico (% prom. anual):</t>
  </si>
  <si>
    <t xml:space="preserve">Agrega más servicios debajo (columna D). Se reflejan en las listas desplegables de Movimientos.</t>
  </si>
  <si>
    <t xml:space="preserve">⚠️ Editables: amarillo = cambia estos valores; fórmulas recalculan automáticamente.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</si>
</sst>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USD &quot;#,##0.00"/>
    <numFmt numFmtId="166" formatCode="&quot;$ &quot;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766E"/>
      <name val="Arial"/>
      <family val="0"/>
      <charset val="1"/>
    </font>
    <font>
      <b val="true"/>
      <sz val="12"/>
      <color rgb="FF0F766E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F766E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4"/>
      <color rgb="FF0F76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i val="true"/>
      <sz val="10"/>
      <color rgb="FFD9770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0F2FE"/>
        <bgColor rgb="FFDCFCE7"/>
      </patternFill>
    </fill>
    <fill>
      <patternFill patternType="solid">
        <fgColor rgb="FF0F766E"/>
        <bgColor rgb="FF008080"/>
      </patternFill>
    </fill>
    <fill>
      <patternFill patternType="solid">
        <fgColor rgb="FFF0FDFA"/>
        <bgColor rgb="FFF9F9F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991B1B"/>
        <sz val="10"/>
      </font>
      <fill>
        <patternFill>
          <bgColor rgb="FFFCA5A5"/>
        </patternFill>
      </fill>
    </dxf>
    <dxf>
      <font>
        <name val="Arial"/>
        <charset val="1"/>
        <family val="0"/>
        <b val="1"/>
        <color rgb="FF9A3412"/>
        <sz val="10"/>
      </font>
      <fill>
        <patternFill>
          <bgColor rgb="FFFED7AA"/>
        </patternFill>
      </fill>
    </dxf>
    <dxf>
      <font>
        <name val="Arial"/>
        <charset val="1"/>
        <family val="0"/>
        <color rgb="FF92400E"/>
        <sz val="10"/>
      </font>
      <fill>
        <patternFill>
          <bgColor rgb="FFFEF3C7"/>
        </patternFill>
      </fill>
    </dxf>
    <dxf>
      <font>
        <name val="Arial"/>
        <charset val="1"/>
        <family val="0"/>
        <color rgb="FF166534"/>
        <sz val="10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166534"/>
        <sz val="10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991B1B"/>
        <sz val="10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F766E"/>
      <rgbColor rgb="FFD9D9D9"/>
      <rgbColor rgb="FF878787"/>
      <rgbColor rgb="FF9999FF"/>
      <rgbColor rgb="FF92400E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F0FDFA"/>
      <rgbColor rgb="FFF9F9F9"/>
      <rgbColor rgb="FFFEE2E2"/>
      <rgbColor rgb="FFFCA5A5"/>
      <rgbColor rgb="FFCC99FF"/>
      <rgbColor rgb="FFFED7AA"/>
      <rgbColor rgb="FF4F81BD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339966"/>
      <rgbColor rgb="FF003300"/>
      <rgbColor rgb="FF333300"/>
      <rgbColor rgb="FF9A34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Costo ARS por Servicio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Dashboard!D10</c:f>
              <c:strCache>
                <c:ptCount val="1"/>
                <c:pt idx="0">
                  <c:v>Costo ARS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Dashboard!$A$11:$A$16</c:f>
              <c:strCache>
                <c:ptCount val="6"/>
                <c:pt idx="0">
                  <c:v>UTI / Terapia Intensiva</c:v>
                </c:pt>
                <c:pt idx="1">
                  <c:v>Laboratorio del Sueño / EEG</c:v>
                </c:pt>
                <c:pt idx="2">
                  <c:v>Cardiología / Ergometría</c:v>
                </c:pt>
                <c:pt idx="3">
                  <c:v>Consultorios / Emergencias / Quirófano</c:v>
                </c:pt>
                <c:pt idx="4">
                  <c:v>Quirófano</c:v>
                </c:pt>
                <c:pt idx="5">
                  <c:v>UCO</c:v>
                </c:pt>
              </c:strCache>
            </c:strRef>
          </c:cat>
          <c:val>
            <c:numRef>
              <c:f>Dashboard!$D$11:$D$16</c:f>
              <c:numCache>
                <c:formatCode>"$ "#,##0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71091727"/>
        <c:axId val="58241952"/>
      </c:barChart>
      <c:catAx>
        <c:axId val="710917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241952"/>
        <c:crosses val="autoZero"/>
        <c:auto val="1"/>
        <c:lblAlgn val="ctr"/>
        <c:lblOffset val="100"/>
        <c:noMultiLvlLbl val="0"/>
      </c:catAx>
      <c:valAx>
        <c:axId val="582419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0917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3.png"/><Relationship Id="rId15" Type="http://schemas.openxmlformats.org/officeDocument/2006/relationships/image" Target="../media/image13.png"/><Relationship Id="rId16" Type="http://schemas.openxmlformats.org/officeDocument/2006/relationships/image" Target="../media/image14.png"/><Relationship Id="rId17" Type="http://schemas.openxmlformats.org/officeDocument/2006/relationships/image" Target="../media/image15.png"/><Relationship Id="rId18" Type="http://schemas.openxmlformats.org/officeDocument/2006/relationships/image" Target="../media/image16.png"/><Relationship Id="rId19" Type="http://schemas.openxmlformats.org/officeDocument/2006/relationships/image" Target="../media/image17.png"/><Relationship Id="rId20" Type="http://schemas.openxmlformats.org/officeDocument/2006/relationships/image" Target="../media/image18.png"/><Relationship Id="rId21" Type="http://schemas.openxmlformats.org/officeDocument/2006/relationships/image" Target="../media/image19.png"/><Relationship Id="rId22" Type="http://schemas.openxmlformats.org/officeDocument/2006/relationships/image" Target="../media/image20.png"/><Relationship Id="rId23" Type="http://schemas.openxmlformats.org/officeDocument/2006/relationships/image" Target="../media/image21.png"/><Relationship Id="rId24" Type="http://schemas.openxmlformats.org/officeDocument/2006/relationships/image" Target="../media/image22.png"/><Relationship Id="rId25" Type="http://schemas.openxmlformats.org/officeDocument/2006/relationships/image" Target="../media/image23.png"/><Relationship Id="rId26" Type="http://schemas.openxmlformats.org/officeDocument/2006/relationships/image" Target="../media/image24.png"/><Relationship Id="rId27" Type="http://schemas.openxmlformats.org/officeDocument/2006/relationships/image" Target="../media/image25.png"/><Relationship Id="rId28" Type="http://schemas.openxmlformats.org/officeDocument/2006/relationships/image" Target="../media/image26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3.png"/><Relationship Id="rId15" Type="http://schemas.openxmlformats.org/officeDocument/2006/relationships/image" Target="../media/image13.png"/><Relationship Id="rId16" Type="http://schemas.openxmlformats.org/officeDocument/2006/relationships/image" Target="../media/image14.png"/><Relationship Id="rId17" Type="http://schemas.openxmlformats.org/officeDocument/2006/relationships/image" Target="../media/image15.png"/><Relationship Id="rId18" Type="http://schemas.openxmlformats.org/officeDocument/2006/relationships/image" Target="../media/image16.png"/><Relationship Id="rId19" Type="http://schemas.openxmlformats.org/officeDocument/2006/relationships/image" Target="../media/image17.png"/><Relationship Id="rId20" Type="http://schemas.openxmlformats.org/officeDocument/2006/relationships/image" Target="../media/image18.png"/><Relationship Id="rId21" Type="http://schemas.openxmlformats.org/officeDocument/2006/relationships/image" Target="../media/image19.png"/><Relationship Id="rId22" Type="http://schemas.openxmlformats.org/officeDocument/2006/relationships/image" Target="../media/image20.png"/><Relationship Id="rId23" Type="http://schemas.openxmlformats.org/officeDocument/2006/relationships/image" Target="../media/image21.png"/><Relationship Id="rId24" Type="http://schemas.openxmlformats.org/officeDocument/2006/relationships/image" Target="../media/image22.png"/><Relationship Id="rId25" Type="http://schemas.openxmlformats.org/officeDocument/2006/relationships/image" Target="../media/image23.png"/><Relationship Id="rId26" Type="http://schemas.openxmlformats.org/officeDocument/2006/relationships/image" Target="../media/image24.png"/><Relationship Id="rId27" Type="http://schemas.openxmlformats.org/officeDocument/2006/relationships/image" Target="../media/image25.png"/><Relationship Id="rId28" Type="http://schemas.openxmlformats.org/officeDocument/2006/relationships/image" Target="../media/image2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9</xdr:row>
      <xdr:rowOff>0</xdr:rowOff>
    </xdr:from>
    <xdr:to>
      <xdr:col>11</xdr:col>
      <xdr:colOff>328680</xdr:colOff>
      <xdr:row>25</xdr:row>
      <xdr:rowOff>9720</xdr:rowOff>
    </xdr:to>
    <xdr:graphicFrame>
      <xdr:nvGraphicFramePr>
        <xdr:cNvPr id="1" name="Chart 1"/>
        <xdr:cNvGraphicFramePr/>
      </xdr:nvGraphicFramePr>
      <xdr:xfrm>
        <a:off x="7471440" y="1914480"/>
        <a:ext cx="5757840" cy="3229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0</xdr:col>
      <xdr:colOff>712080</xdr:colOff>
      <xdr:row>2</xdr:row>
      <xdr:rowOff>712080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60012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712080</xdr:colOff>
      <xdr:row>3</xdr:row>
      <xdr:rowOff>712080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0" y="141912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712080</xdr:colOff>
      <xdr:row>4</xdr:row>
      <xdr:rowOff>712080</xdr:rowOff>
    </xdr:to>
    <xdr:pic>
      <xdr:nvPicPr>
        <xdr:cNvPr id="4" name="Image 3" descr="Picture"/>
        <xdr:cNvPicPr/>
      </xdr:nvPicPr>
      <xdr:blipFill>
        <a:blip r:embed="rId3"/>
        <a:stretch/>
      </xdr:blipFill>
      <xdr:spPr>
        <a:xfrm>
          <a:off x="0" y="223848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712080</xdr:colOff>
      <xdr:row>5</xdr:row>
      <xdr:rowOff>712080</xdr:rowOff>
    </xdr:to>
    <xdr:pic>
      <xdr:nvPicPr>
        <xdr:cNvPr id="5" name="Image 4" descr="Picture"/>
        <xdr:cNvPicPr/>
      </xdr:nvPicPr>
      <xdr:blipFill>
        <a:blip r:embed="rId4"/>
        <a:stretch/>
      </xdr:blipFill>
      <xdr:spPr>
        <a:xfrm>
          <a:off x="0" y="305748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712080</xdr:colOff>
      <xdr:row>6</xdr:row>
      <xdr:rowOff>712080</xdr:rowOff>
    </xdr:to>
    <xdr:pic>
      <xdr:nvPicPr>
        <xdr:cNvPr id="6" name="Image 5" descr="Picture"/>
        <xdr:cNvPicPr/>
      </xdr:nvPicPr>
      <xdr:blipFill>
        <a:blip r:embed="rId5"/>
        <a:stretch/>
      </xdr:blipFill>
      <xdr:spPr>
        <a:xfrm>
          <a:off x="0" y="387684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712080</xdr:colOff>
      <xdr:row>7</xdr:row>
      <xdr:rowOff>712080</xdr:rowOff>
    </xdr:to>
    <xdr:pic>
      <xdr:nvPicPr>
        <xdr:cNvPr id="7" name="Image 6" descr="Picture"/>
        <xdr:cNvPicPr/>
      </xdr:nvPicPr>
      <xdr:blipFill>
        <a:blip r:embed="rId6"/>
        <a:stretch/>
      </xdr:blipFill>
      <xdr:spPr>
        <a:xfrm>
          <a:off x="0" y="469584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712080</xdr:colOff>
      <xdr:row>8</xdr:row>
      <xdr:rowOff>712080</xdr:rowOff>
    </xdr:to>
    <xdr:pic>
      <xdr:nvPicPr>
        <xdr:cNvPr id="8" name="Image 7" descr="Picture"/>
        <xdr:cNvPicPr/>
      </xdr:nvPicPr>
      <xdr:blipFill>
        <a:blip r:embed="rId7"/>
        <a:stretch/>
      </xdr:blipFill>
      <xdr:spPr>
        <a:xfrm>
          <a:off x="0" y="551484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712080</xdr:colOff>
      <xdr:row>9</xdr:row>
      <xdr:rowOff>712080</xdr:rowOff>
    </xdr:to>
    <xdr:pic>
      <xdr:nvPicPr>
        <xdr:cNvPr id="9" name="Image 8" descr="Picture"/>
        <xdr:cNvPicPr/>
      </xdr:nvPicPr>
      <xdr:blipFill>
        <a:blip r:embed="rId8"/>
        <a:stretch/>
      </xdr:blipFill>
      <xdr:spPr>
        <a:xfrm>
          <a:off x="0" y="633420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712080</xdr:colOff>
      <xdr:row>10</xdr:row>
      <xdr:rowOff>712080</xdr:rowOff>
    </xdr:to>
    <xdr:pic>
      <xdr:nvPicPr>
        <xdr:cNvPr id="10" name="Image 9" descr="Picture"/>
        <xdr:cNvPicPr/>
      </xdr:nvPicPr>
      <xdr:blipFill>
        <a:blip r:embed="rId9"/>
        <a:stretch/>
      </xdr:blipFill>
      <xdr:spPr>
        <a:xfrm>
          <a:off x="0" y="715320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712080</xdr:colOff>
      <xdr:row>11</xdr:row>
      <xdr:rowOff>712080</xdr:rowOff>
    </xdr:to>
    <xdr:pic>
      <xdr:nvPicPr>
        <xdr:cNvPr id="11" name="Image 10" descr="Picture"/>
        <xdr:cNvPicPr/>
      </xdr:nvPicPr>
      <xdr:blipFill>
        <a:blip r:embed="rId10"/>
        <a:stretch/>
      </xdr:blipFill>
      <xdr:spPr>
        <a:xfrm>
          <a:off x="0" y="797256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712080</xdr:colOff>
      <xdr:row>12</xdr:row>
      <xdr:rowOff>712080</xdr:rowOff>
    </xdr:to>
    <xdr:pic>
      <xdr:nvPicPr>
        <xdr:cNvPr id="12" name="Image 11" descr="Picture"/>
        <xdr:cNvPicPr/>
      </xdr:nvPicPr>
      <xdr:blipFill>
        <a:blip r:embed="rId11"/>
        <a:stretch/>
      </xdr:blipFill>
      <xdr:spPr>
        <a:xfrm>
          <a:off x="0" y="879156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712080</xdr:colOff>
      <xdr:row>13</xdr:row>
      <xdr:rowOff>712080</xdr:rowOff>
    </xdr:to>
    <xdr:pic>
      <xdr:nvPicPr>
        <xdr:cNvPr id="13" name="Image 12" descr="Picture"/>
        <xdr:cNvPicPr/>
      </xdr:nvPicPr>
      <xdr:blipFill>
        <a:blip r:embed="rId12"/>
        <a:stretch/>
      </xdr:blipFill>
      <xdr:spPr>
        <a:xfrm>
          <a:off x="0" y="961056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712080</xdr:colOff>
      <xdr:row>14</xdr:row>
      <xdr:rowOff>712080</xdr:rowOff>
    </xdr:to>
    <xdr:pic>
      <xdr:nvPicPr>
        <xdr:cNvPr id="14" name="Image 13" descr="Picture"/>
        <xdr:cNvPicPr/>
      </xdr:nvPicPr>
      <xdr:blipFill>
        <a:blip r:embed="rId13"/>
        <a:stretch/>
      </xdr:blipFill>
      <xdr:spPr>
        <a:xfrm>
          <a:off x="0" y="1042992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712080</xdr:colOff>
      <xdr:row>15</xdr:row>
      <xdr:rowOff>712080</xdr:rowOff>
    </xdr:to>
    <xdr:pic>
      <xdr:nvPicPr>
        <xdr:cNvPr id="15" name="Image 14" descr="Picture"/>
        <xdr:cNvPicPr/>
      </xdr:nvPicPr>
      <xdr:blipFill>
        <a:blip r:embed="rId14"/>
        <a:stretch/>
      </xdr:blipFill>
      <xdr:spPr>
        <a:xfrm>
          <a:off x="0" y="1124892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712080</xdr:colOff>
      <xdr:row>16</xdr:row>
      <xdr:rowOff>712080</xdr:rowOff>
    </xdr:to>
    <xdr:pic>
      <xdr:nvPicPr>
        <xdr:cNvPr id="16" name="Image 15" descr="Picture"/>
        <xdr:cNvPicPr/>
      </xdr:nvPicPr>
      <xdr:blipFill>
        <a:blip r:embed="rId15"/>
        <a:stretch/>
      </xdr:blipFill>
      <xdr:spPr>
        <a:xfrm>
          <a:off x="0" y="1206828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712080</xdr:colOff>
      <xdr:row>17</xdr:row>
      <xdr:rowOff>712080</xdr:rowOff>
    </xdr:to>
    <xdr:pic>
      <xdr:nvPicPr>
        <xdr:cNvPr id="17" name="Image 16" descr="Picture"/>
        <xdr:cNvPicPr/>
      </xdr:nvPicPr>
      <xdr:blipFill>
        <a:blip r:embed="rId16"/>
        <a:stretch/>
      </xdr:blipFill>
      <xdr:spPr>
        <a:xfrm>
          <a:off x="0" y="1288728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712080</xdr:colOff>
      <xdr:row>18</xdr:row>
      <xdr:rowOff>712080</xdr:rowOff>
    </xdr:to>
    <xdr:pic>
      <xdr:nvPicPr>
        <xdr:cNvPr id="18" name="Image 17" descr="Picture"/>
        <xdr:cNvPicPr/>
      </xdr:nvPicPr>
      <xdr:blipFill>
        <a:blip r:embed="rId17"/>
        <a:stretch/>
      </xdr:blipFill>
      <xdr:spPr>
        <a:xfrm>
          <a:off x="0" y="1370664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712080</xdr:colOff>
      <xdr:row>19</xdr:row>
      <xdr:rowOff>712080</xdr:rowOff>
    </xdr:to>
    <xdr:pic>
      <xdr:nvPicPr>
        <xdr:cNvPr id="19" name="Image 18" descr="Picture"/>
        <xdr:cNvPicPr/>
      </xdr:nvPicPr>
      <xdr:blipFill>
        <a:blip r:embed="rId18"/>
        <a:stretch/>
      </xdr:blipFill>
      <xdr:spPr>
        <a:xfrm>
          <a:off x="0" y="1452564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712080</xdr:colOff>
      <xdr:row>20</xdr:row>
      <xdr:rowOff>712080</xdr:rowOff>
    </xdr:to>
    <xdr:pic>
      <xdr:nvPicPr>
        <xdr:cNvPr id="20" name="Image 19" descr="Picture"/>
        <xdr:cNvPicPr/>
      </xdr:nvPicPr>
      <xdr:blipFill>
        <a:blip r:embed="rId19"/>
        <a:stretch/>
      </xdr:blipFill>
      <xdr:spPr>
        <a:xfrm>
          <a:off x="0" y="1534464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712080</xdr:colOff>
      <xdr:row>21</xdr:row>
      <xdr:rowOff>712080</xdr:rowOff>
    </xdr:to>
    <xdr:pic>
      <xdr:nvPicPr>
        <xdr:cNvPr id="21" name="Image 20" descr="Picture"/>
        <xdr:cNvPicPr/>
      </xdr:nvPicPr>
      <xdr:blipFill>
        <a:blip r:embed="rId20"/>
        <a:stretch/>
      </xdr:blipFill>
      <xdr:spPr>
        <a:xfrm>
          <a:off x="0" y="1616400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712080</xdr:colOff>
      <xdr:row>22</xdr:row>
      <xdr:rowOff>712080</xdr:rowOff>
    </xdr:to>
    <xdr:pic>
      <xdr:nvPicPr>
        <xdr:cNvPr id="22" name="Image 21" descr="Picture"/>
        <xdr:cNvPicPr/>
      </xdr:nvPicPr>
      <xdr:blipFill>
        <a:blip r:embed="rId21"/>
        <a:stretch/>
      </xdr:blipFill>
      <xdr:spPr>
        <a:xfrm>
          <a:off x="0" y="1698300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712080</xdr:colOff>
      <xdr:row>23</xdr:row>
      <xdr:rowOff>712080</xdr:rowOff>
    </xdr:to>
    <xdr:pic>
      <xdr:nvPicPr>
        <xdr:cNvPr id="23" name="Image 22" descr="Picture"/>
        <xdr:cNvPicPr/>
      </xdr:nvPicPr>
      <xdr:blipFill>
        <a:blip r:embed="rId22"/>
        <a:stretch/>
      </xdr:blipFill>
      <xdr:spPr>
        <a:xfrm>
          <a:off x="0" y="1780236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712080</xdr:colOff>
      <xdr:row>24</xdr:row>
      <xdr:rowOff>712080</xdr:rowOff>
    </xdr:to>
    <xdr:pic>
      <xdr:nvPicPr>
        <xdr:cNvPr id="24" name="Image 23" descr="Picture"/>
        <xdr:cNvPicPr/>
      </xdr:nvPicPr>
      <xdr:blipFill>
        <a:blip r:embed="rId23"/>
        <a:stretch/>
      </xdr:blipFill>
      <xdr:spPr>
        <a:xfrm>
          <a:off x="0" y="1862136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712080</xdr:colOff>
      <xdr:row>25</xdr:row>
      <xdr:rowOff>712080</xdr:rowOff>
    </xdr:to>
    <xdr:pic>
      <xdr:nvPicPr>
        <xdr:cNvPr id="25" name="Image 24" descr="Picture"/>
        <xdr:cNvPicPr/>
      </xdr:nvPicPr>
      <xdr:blipFill>
        <a:blip r:embed="rId24"/>
        <a:stretch/>
      </xdr:blipFill>
      <xdr:spPr>
        <a:xfrm>
          <a:off x="0" y="1944036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712080</xdr:colOff>
      <xdr:row>26</xdr:row>
      <xdr:rowOff>712080</xdr:rowOff>
    </xdr:to>
    <xdr:pic>
      <xdr:nvPicPr>
        <xdr:cNvPr id="26" name="Image 25" descr="Picture"/>
        <xdr:cNvPicPr/>
      </xdr:nvPicPr>
      <xdr:blipFill>
        <a:blip r:embed="rId25"/>
        <a:stretch/>
      </xdr:blipFill>
      <xdr:spPr>
        <a:xfrm>
          <a:off x="0" y="2025972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712080</xdr:colOff>
      <xdr:row>27</xdr:row>
      <xdr:rowOff>712080</xdr:rowOff>
    </xdr:to>
    <xdr:pic>
      <xdr:nvPicPr>
        <xdr:cNvPr id="27" name="Image 26" descr="Picture"/>
        <xdr:cNvPicPr/>
      </xdr:nvPicPr>
      <xdr:blipFill>
        <a:blip r:embed="rId26"/>
        <a:stretch/>
      </xdr:blipFill>
      <xdr:spPr>
        <a:xfrm>
          <a:off x="0" y="2107872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712080</xdr:colOff>
      <xdr:row>28</xdr:row>
      <xdr:rowOff>712080</xdr:rowOff>
    </xdr:to>
    <xdr:pic>
      <xdr:nvPicPr>
        <xdr:cNvPr id="28" name="Image 27" descr="Picture"/>
        <xdr:cNvPicPr/>
      </xdr:nvPicPr>
      <xdr:blipFill>
        <a:blip r:embed="rId27"/>
        <a:stretch/>
      </xdr:blipFill>
      <xdr:spPr>
        <a:xfrm>
          <a:off x="0" y="2189808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712080</xdr:colOff>
      <xdr:row>29</xdr:row>
      <xdr:rowOff>712080</xdr:rowOff>
    </xdr:to>
    <xdr:pic>
      <xdr:nvPicPr>
        <xdr:cNvPr id="29" name="Image 28" descr="Picture"/>
        <xdr:cNvPicPr/>
      </xdr:nvPicPr>
      <xdr:blipFill>
        <a:blip r:embed="rId28"/>
        <a:stretch/>
      </xdr:blipFill>
      <xdr:spPr>
        <a:xfrm>
          <a:off x="0" y="22717080"/>
          <a:ext cx="712080" cy="712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0</xdr:col>
      <xdr:colOff>617040</xdr:colOff>
      <xdr:row>3</xdr:row>
      <xdr:rowOff>617040</xdr:rowOff>
    </xdr:to>
    <xdr:pic>
      <xdr:nvPicPr>
        <xdr:cNvPr id="30" name="Image 1" descr="Picture"/>
        <xdr:cNvPicPr/>
      </xdr:nvPicPr>
      <xdr:blipFill>
        <a:blip r:embed="rId1"/>
        <a:stretch/>
      </xdr:blipFill>
      <xdr:spPr>
        <a:xfrm>
          <a:off x="0" y="76212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617040</xdr:colOff>
      <xdr:row>4</xdr:row>
      <xdr:rowOff>617040</xdr:rowOff>
    </xdr:to>
    <xdr:pic>
      <xdr:nvPicPr>
        <xdr:cNvPr id="31" name="Image 2" descr="Picture"/>
        <xdr:cNvPicPr/>
      </xdr:nvPicPr>
      <xdr:blipFill>
        <a:blip r:embed="rId2"/>
        <a:stretch/>
      </xdr:blipFill>
      <xdr:spPr>
        <a:xfrm>
          <a:off x="0" y="152388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617040</xdr:colOff>
      <xdr:row>5</xdr:row>
      <xdr:rowOff>617040</xdr:rowOff>
    </xdr:to>
    <xdr:pic>
      <xdr:nvPicPr>
        <xdr:cNvPr id="32" name="Image 3" descr="Picture"/>
        <xdr:cNvPicPr/>
      </xdr:nvPicPr>
      <xdr:blipFill>
        <a:blip r:embed="rId3"/>
        <a:stretch/>
      </xdr:blipFill>
      <xdr:spPr>
        <a:xfrm>
          <a:off x="0" y="228600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617040</xdr:colOff>
      <xdr:row>6</xdr:row>
      <xdr:rowOff>617040</xdr:rowOff>
    </xdr:to>
    <xdr:pic>
      <xdr:nvPicPr>
        <xdr:cNvPr id="33" name="Image 4" descr="Picture"/>
        <xdr:cNvPicPr/>
      </xdr:nvPicPr>
      <xdr:blipFill>
        <a:blip r:embed="rId4"/>
        <a:stretch/>
      </xdr:blipFill>
      <xdr:spPr>
        <a:xfrm>
          <a:off x="0" y="304812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617040</xdr:colOff>
      <xdr:row>7</xdr:row>
      <xdr:rowOff>617040</xdr:rowOff>
    </xdr:to>
    <xdr:pic>
      <xdr:nvPicPr>
        <xdr:cNvPr id="34" name="Image 5" descr="Picture"/>
        <xdr:cNvPicPr/>
      </xdr:nvPicPr>
      <xdr:blipFill>
        <a:blip r:embed="rId5"/>
        <a:stretch/>
      </xdr:blipFill>
      <xdr:spPr>
        <a:xfrm>
          <a:off x="0" y="380988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617040</xdr:colOff>
      <xdr:row>8</xdr:row>
      <xdr:rowOff>617040</xdr:rowOff>
    </xdr:to>
    <xdr:pic>
      <xdr:nvPicPr>
        <xdr:cNvPr id="35" name="Image 6" descr="Picture"/>
        <xdr:cNvPicPr/>
      </xdr:nvPicPr>
      <xdr:blipFill>
        <a:blip r:embed="rId6"/>
        <a:stretch/>
      </xdr:blipFill>
      <xdr:spPr>
        <a:xfrm>
          <a:off x="0" y="457200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617040</xdr:colOff>
      <xdr:row>9</xdr:row>
      <xdr:rowOff>617040</xdr:rowOff>
    </xdr:to>
    <xdr:pic>
      <xdr:nvPicPr>
        <xdr:cNvPr id="36" name="Image 7" descr="Picture"/>
        <xdr:cNvPicPr/>
      </xdr:nvPicPr>
      <xdr:blipFill>
        <a:blip r:embed="rId7"/>
        <a:stretch/>
      </xdr:blipFill>
      <xdr:spPr>
        <a:xfrm>
          <a:off x="0" y="533412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617040</xdr:colOff>
      <xdr:row>10</xdr:row>
      <xdr:rowOff>617040</xdr:rowOff>
    </xdr:to>
    <xdr:pic>
      <xdr:nvPicPr>
        <xdr:cNvPr id="37" name="Image 8" descr="Picture"/>
        <xdr:cNvPicPr/>
      </xdr:nvPicPr>
      <xdr:blipFill>
        <a:blip r:embed="rId8"/>
        <a:stretch/>
      </xdr:blipFill>
      <xdr:spPr>
        <a:xfrm>
          <a:off x="0" y="609588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617040</xdr:colOff>
      <xdr:row>11</xdr:row>
      <xdr:rowOff>617040</xdr:rowOff>
    </xdr:to>
    <xdr:pic>
      <xdr:nvPicPr>
        <xdr:cNvPr id="38" name="Image 9" descr="Picture"/>
        <xdr:cNvPicPr/>
      </xdr:nvPicPr>
      <xdr:blipFill>
        <a:blip r:embed="rId9"/>
        <a:stretch/>
      </xdr:blipFill>
      <xdr:spPr>
        <a:xfrm>
          <a:off x="0" y="685800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617040</xdr:colOff>
      <xdr:row>12</xdr:row>
      <xdr:rowOff>617040</xdr:rowOff>
    </xdr:to>
    <xdr:pic>
      <xdr:nvPicPr>
        <xdr:cNvPr id="39" name="Image 10" descr="Picture"/>
        <xdr:cNvPicPr/>
      </xdr:nvPicPr>
      <xdr:blipFill>
        <a:blip r:embed="rId10"/>
        <a:stretch/>
      </xdr:blipFill>
      <xdr:spPr>
        <a:xfrm>
          <a:off x="0" y="762012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617040</xdr:colOff>
      <xdr:row>13</xdr:row>
      <xdr:rowOff>617040</xdr:rowOff>
    </xdr:to>
    <xdr:pic>
      <xdr:nvPicPr>
        <xdr:cNvPr id="40" name="Image 11" descr="Picture"/>
        <xdr:cNvPicPr/>
      </xdr:nvPicPr>
      <xdr:blipFill>
        <a:blip r:embed="rId11"/>
        <a:stretch/>
      </xdr:blipFill>
      <xdr:spPr>
        <a:xfrm>
          <a:off x="0" y="838188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617040</xdr:colOff>
      <xdr:row>14</xdr:row>
      <xdr:rowOff>617040</xdr:rowOff>
    </xdr:to>
    <xdr:pic>
      <xdr:nvPicPr>
        <xdr:cNvPr id="41" name="Image 12" descr="Picture"/>
        <xdr:cNvPicPr/>
      </xdr:nvPicPr>
      <xdr:blipFill>
        <a:blip r:embed="rId12"/>
        <a:stretch/>
      </xdr:blipFill>
      <xdr:spPr>
        <a:xfrm>
          <a:off x="0" y="914400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617040</xdr:colOff>
      <xdr:row>15</xdr:row>
      <xdr:rowOff>617040</xdr:rowOff>
    </xdr:to>
    <xdr:pic>
      <xdr:nvPicPr>
        <xdr:cNvPr id="42" name="Image 13" descr="Picture"/>
        <xdr:cNvPicPr/>
      </xdr:nvPicPr>
      <xdr:blipFill>
        <a:blip r:embed="rId13"/>
        <a:stretch/>
      </xdr:blipFill>
      <xdr:spPr>
        <a:xfrm>
          <a:off x="0" y="990612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617040</xdr:colOff>
      <xdr:row>16</xdr:row>
      <xdr:rowOff>617040</xdr:rowOff>
    </xdr:to>
    <xdr:pic>
      <xdr:nvPicPr>
        <xdr:cNvPr id="43" name="Image 14" descr="Picture"/>
        <xdr:cNvPicPr/>
      </xdr:nvPicPr>
      <xdr:blipFill>
        <a:blip r:embed="rId14"/>
        <a:stretch/>
      </xdr:blipFill>
      <xdr:spPr>
        <a:xfrm>
          <a:off x="0" y="1066788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617040</xdr:colOff>
      <xdr:row>17</xdr:row>
      <xdr:rowOff>617040</xdr:rowOff>
    </xdr:to>
    <xdr:pic>
      <xdr:nvPicPr>
        <xdr:cNvPr id="44" name="Image 15" descr="Picture"/>
        <xdr:cNvPicPr/>
      </xdr:nvPicPr>
      <xdr:blipFill>
        <a:blip r:embed="rId15"/>
        <a:stretch/>
      </xdr:blipFill>
      <xdr:spPr>
        <a:xfrm>
          <a:off x="0" y="1143000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617040</xdr:colOff>
      <xdr:row>18</xdr:row>
      <xdr:rowOff>617040</xdr:rowOff>
    </xdr:to>
    <xdr:pic>
      <xdr:nvPicPr>
        <xdr:cNvPr id="45" name="Image 16" descr="Picture"/>
        <xdr:cNvPicPr/>
      </xdr:nvPicPr>
      <xdr:blipFill>
        <a:blip r:embed="rId16"/>
        <a:stretch/>
      </xdr:blipFill>
      <xdr:spPr>
        <a:xfrm>
          <a:off x="0" y="1219212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617040</xdr:colOff>
      <xdr:row>19</xdr:row>
      <xdr:rowOff>617040</xdr:rowOff>
    </xdr:to>
    <xdr:pic>
      <xdr:nvPicPr>
        <xdr:cNvPr id="46" name="Image 17" descr="Picture"/>
        <xdr:cNvPicPr/>
      </xdr:nvPicPr>
      <xdr:blipFill>
        <a:blip r:embed="rId17"/>
        <a:stretch/>
      </xdr:blipFill>
      <xdr:spPr>
        <a:xfrm>
          <a:off x="0" y="1295388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617040</xdr:colOff>
      <xdr:row>20</xdr:row>
      <xdr:rowOff>617040</xdr:rowOff>
    </xdr:to>
    <xdr:pic>
      <xdr:nvPicPr>
        <xdr:cNvPr id="47" name="Image 18" descr="Picture"/>
        <xdr:cNvPicPr/>
      </xdr:nvPicPr>
      <xdr:blipFill>
        <a:blip r:embed="rId18"/>
        <a:stretch/>
      </xdr:blipFill>
      <xdr:spPr>
        <a:xfrm>
          <a:off x="0" y="1371600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617040</xdr:colOff>
      <xdr:row>21</xdr:row>
      <xdr:rowOff>617040</xdr:rowOff>
    </xdr:to>
    <xdr:pic>
      <xdr:nvPicPr>
        <xdr:cNvPr id="48" name="Image 19" descr="Picture"/>
        <xdr:cNvPicPr/>
      </xdr:nvPicPr>
      <xdr:blipFill>
        <a:blip r:embed="rId19"/>
        <a:stretch/>
      </xdr:blipFill>
      <xdr:spPr>
        <a:xfrm>
          <a:off x="0" y="1447812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617040</xdr:colOff>
      <xdr:row>22</xdr:row>
      <xdr:rowOff>617040</xdr:rowOff>
    </xdr:to>
    <xdr:pic>
      <xdr:nvPicPr>
        <xdr:cNvPr id="49" name="Image 20" descr="Picture"/>
        <xdr:cNvPicPr/>
      </xdr:nvPicPr>
      <xdr:blipFill>
        <a:blip r:embed="rId20"/>
        <a:stretch/>
      </xdr:blipFill>
      <xdr:spPr>
        <a:xfrm>
          <a:off x="0" y="1523988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617040</xdr:colOff>
      <xdr:row>23</xdr:row>
      <xdr:rowOff>617040</xdr:rowOff>
    </xdr:to>
    <xdr:pic>
      <xdr:nvPicPr>
        <xdr:cNvPr id="50" name="Image 21" descr="Picture"/>
        <xdr:cNvPicPr/>
      </xdr:nvPicPr>
      <xdr:blipFill>
        <a:blip r:embed="rId21"/>
        <a:stretch/>
      </xdr:blipFill>
      <xdr:spPr>
        <a:xfrm>
          <a:off x="0" y="1600200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617040</xdr:colOff>
      <xdr:row>24</xdr:row>
      <xdr:rowOff>617040</xdr:rowOff>
    </xdr:to>
    <xdr:pic>
      <xdr:nvPicPr>
        <xdr:cNvPr id="51" name="Image 22" descr="Picture"/>
        <xdr:cNvPicPr/>
      </xdr:nvPicPr>
      <xdr:blipFill>
        <a:blip r:embed="rId22"/>
        <a:stretch/>
      </xdr:blipFill>
      <xdr:spPr>
        <a:xfrm>
          <a:off x="0" y="1676412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617040</xdr:colOff>
      <xdr:row>25</xdr:row>
      <xdr:rowOff>617040</xdr:rowOff>
    </xdr:to>
    <xdr:pic>
      <xdr:nvPicPr>
        <xdr:cNvPr id="52" name="Image 23" descr="Picture"/>
        <xdr:cNvPicPr/>
      </xdr:nvPicPr>
      <xdr:blipFill>
        <a:blip r:embed="rId23"/>
        <a:stretch/>
      </xdr:blipFill>
      <xdr:spPr>
        <a:xfrm>
          <a:off x="0" y="1752588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617040</xdr:colOff>
      <xdr:row>26</xdr:row>
      <xdr:rowOff>617040</xdr:rowOff>
    </xdr:to>
    <xdr:pic>
      <xdr:nvPicPr>
        <xdr:cNvPr id="53" name="Image 24" descr="Picture"/>
        <xdr:cNvPicPr/>
      </xdr:nvPicPr>
      <xdr:blipFill>
        <a:blip r:embed="rId24"/>
        <a:stretch/>
      </xdr:blipFill>
      <xdr:spPr>
        <a:xfrm>
          <a:off x="0" y="1828800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617040</xdr:colOff>
      <xdr:row>27</xdr:row>
      <xdr:rowOff>617040</xdr:rowOff>
    </xdr:to>
    <xdr:pic>
      <xdr:nvPicPr>
        <xdr:cNvPr id="54" name="Image 25" descr="Picture"/>
        <xdr:cNvPicPr/>
      </xdr:nvPicPr>
      <xdr:blipFill>
        <a:blip r:embed="rId25"/>
        <a:stretch/>
      </xdr:blipFill>
      <xdr:spPr>
        <a:xfrm>
          <a:off x="0" y="1905012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617040</xdr:colOff>
      <xdr:row>28</xdr:row>
      <xdr:rowOff>617040</xdr:rowOff>
    </xdr:to>
    <xdr:pic>
      <xdr:nvPicPr>
        <xdr:cNvPr id="55" name="Image 26" descr="Picture"/>
        <xdr:cNvPicPr/>
      </xdr:nvPicPr>
      <xdr:blipFill>
        <a:blip r:embed="rId26"/>
        <a:stretch/>
      </xdr:blipFill>
      <xdr:spPr>
        <a:xfrm>
          <a:off x="0" y="1981188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617040</xdr:colOff>
      <xdr:row>29</xdr:row>
      <xdr:rowOff>617040</xdr:rowOff>
    </xdr:to>
    <xdr:pic>
      <xdr:nvPicPr>
        <xdr:cNvPr id="56" name="Image 27" descr="Picture"/>
        <xdr:cNvPicPr/>
      </xdr:nvPicPr>
      <xdr:blipFill>
        <a:blip r:embed="rId27"/>
        <a:stretch/>
      </xdr:blipFill>
      <xdr:spPr>
        <a:xfrm>
          <a:off x="0" y="2057400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617040</xdr:colOff>
      <xdr:row>30</xdr:row>
      <xdr:rowOff>617040</xdr:rowOff>
    </xdr:to>
    <xdr:pic>
      <xdr:nvPicPr>
        <xdr:cNvPr id="57" name="Image 28" descr="Picture"/>
        <xdr:cNvPicPr/>
      </xdr:nvPicPr>
      <xdr:blipFill>
        <a:blip r:embed="rId28"/>
        <a:stretch/>
      </xdr:blipFill>
      <xdr:spPr>
        <a:xfrm>
          <a:off x="0" y="21336120"/>
          <a:ext cx="617040" cy="617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conmil.com.ar/es/store/" TargetMode="External"/><Relationship Id="rId2" Type="http://schemas.openxmlformats.org/officeDocument/2006/relationships/hyperlink" Target="https://conmil.com.ar/es/store/" TargetMode="External"/><Relationship Id="rId3" Type="http://schemas.openxmlformats.org/officeDocument/2006/relationships/hyperlink" Target="https://www.mercadolibre.com.ar/brazal-universal-para-tensiometro-digital-microlife-2242-cm/up/MLAU383417813?pdp_filters=item_id:MLA1803242736" TargetMode="External"/><Relationship Id="rId4" Type="http://schemas.openxmlformats.org/officeDocument/2006/relationships/hyperlink" Target="https://www.mercadolibre.com.ar/brazal-mango-obeso-32-a-52-cm-tensiometro-digital-microlife/up/MLAU307445902" TargetMode="External"/><Relationship Id="rId5" Type="http://schemas.openxmlformats.org/officeDocument/2006/relationships/hyperlink" Target="https://conmil.com.ar/es/producto/cable-paciente-ecg---clip" TargetMode="External"/><Relationship Id="rId6" Type="http://schemas.openxmlformats.org/officeDocument/2006/relationships/hyperlink" Target="https://conmil.com.ar/es/store/" TargetMode="External"/><Relationship Id="rId7" Type="http://schemas.openxmlformats.org/officeDocument/2006/relationships/hyperlink" Target="https://conmil.com.ar/es/store/" TargetMode="External"/><Relationship Id="rId8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8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42" hidden="false" customHeight="true" outlineLevel="0" collapsed="false">
      <c r="A3" s="3"/>
      <c r="B3" s="4"/>
      <c r="C3" s="4"/>
      <c r="D3" s="4"/>
      <c r="E3" s="4"/>
      <c r="F3" s="4"/>
    </row>
    <row r="4" customFormat="false" ht="42" hidden="false" customHeight="true" outlineLevel="0" collapsed="false">
      <c r="A4" s="3" t="s">
        <v>1</v>
      </c>
      <c r="B4" s="4" t="s">
        <v>2</v>
      </c>
      <c r="C4" s="4"/>
      <c r="D4" s="4"/>
      <c r="E4" s="4"/>
      <c r="F4" s="4"/>
    </row>
    <row r="5" customFormat="false" ht="42" hidden="false" customHeight="true" outlineLevel="0" collapsed="false">
      <c r="A5" s="3" t="s">
        <v>3</v>
      </c>
      <c r="B5" s="4" t="s">
        <v>4</v>
      </c>
      <c r="C5" s="4"/>
      <c r="D5" s="4"/>
      <c r="E5" s="4"/>
      <c r="F5" s="4"/>
    </row>
    <row r="6" customFormat="false" ht="42" hidden="false" customHeight="true" outlineLevel="0" collapsed="false">
      <c r="A6" s="3" t="s">
        <v>5</v>
      </c>
      <c r="B6" s="4" t="s">
        <v>6</v>
      </c>
      <c r="C6" s="4"/>
      <c r="D6" s="4"/>
      <c r="E6" s="4"/>
      <c r="F6" s="4"/>
    </row>
    <row r="7" customFormat="false" ht="42" hidden="false" customHeight="true" outlineLevel="0" collapsed="false">
      <c r="A7" s="3" t="s">
        <v>7</v>
      </c>
      <c r="B7" s="4" t="s">
        <v>8</v>
      </c>
      <c r="C7" s="4"/>
      <c r="D7" s="4"/>
      <c r="E7" s="4"/>
      <c r="F7" s="4"/>
    </row>
    <row r="8" customFormat="false" ht="42" hidden="false" customHeight="true" outlineLevel="0" collapsed="false">
      <c r="A8" s="3" t="s">
        <v>9</v>
      </c>
      <c r="B8" s="4" t="s">
        <v>10</v>
      </c>
      <c r="C8" s="4"/>
      <c r="D8" s="4"/>
      <c r="E8" s="4"/>
      <c r="F8" s="4"/>
    </row>
    <row r="9" customFormat="false" ht="42" hidden="false" customHeight="true" outlineLevel="0" collapsed="false">
      <c r="A9" s="3"/>
      <c r="B9" s="4"/>
      <c r="C9" s="4"/>
      <c r="D9" s="4"/>
      <c r="E9" s="4"/>
      <c r="F9" s="4"/>
    </row>
    <row r="10" customFormat="false" ht="42" hidden="false" customHeight="true" outlineLevel="0" collapsed="false">
      <c r="A10" s="3" t="s">
        <v>11</v>
      </c>
      <c r="B10" s="4" t="s">
        <v>12</v>
      </c>
      <c r="C10" s="4"/>
      <c r="D10" s="4"/>
      <c r="E10" s="4"/>
      <c r="F10" s="4"/>
    </row>
    <row r="11" customFormat="false" ht="42" hidden="false" customHeight="true" outlineLevel="0" collapsed="false">
      <c r="A11" s="3" t="s">
        <v>13</v>
      </c>
      <c r="B11" s="4" t="s">
        <v>14</v>
      </c>
      <c r="C11" s="4"/>
      <c r="D11" s="4"/>
      <c r="E11" s="4"/>
      <c r="F11" s="4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7"/>
  </cols>
  <sheetData>
    <row r="1" customFormat="false" ht="21.75" hidden="false" customHeight="true" outlineLevel="0" collapsed="false">
      <c r="A1" s="5" t="s">
        <v>15</v>
      </c>
      <c r="B1" s="5"/>
      <c r="C1" s="5"/>
      <c r="D1" s="5"/>
      <c r="E1" s="5"/>
      <c r="F1" s="5"/>
      <c r="G1" s="5"/>
      <c r="H1" s="5"/>
    </row>
    <row r="2" customFormat="false" ht="15" hidden="false" customHeight="true" outlineLevel="0" collapsed="false">
      <c r="A2" s="6" t="s">
        <v>16</v>
      </c>
      <c r="B2" s="6"/>
      <c r="C2" s="6"/>
      <c r="D2" s="6"/>
      <c r="E2" s="6"/>
      <c r="F2" s="6"/>
      <c r="G2" s="6"/>
      <c r="H2" s="6"/>
    </row>
    <row r="4" customFormat="false" ht="15" hidden="false" customHeight="true" outlineLevel="0" collapsed="false">
      <c r="B4" s="7" t="s">
        <v>17</v>
      </c>
      <c r="C4" s="7"/>
      <c r="D4" s="7" t="s">
        <v>18</v>
      </c>
      <c r="E4" s="7"/>
      <c r="F4" s="7" t="s">
        <v>19</v>
      </c>
      <c r="G4" s="7"/>
      <c r="H4" s="7" t="s">
        <v>20</v>
      </c>
      <c r="I4" s="7"/>
    </row>
    <row r="5" customFormat="false" ht="21.75" hidden="false" customHeight="true" outlineLevel="0" collapsed="false">
      <c r="B5" s="8" t="n">
        <f aca="false">COUNTA(Stock!B3:B200)</f>
        <v>28</v>
      </c>
      <c r="C5" s="8"/>
      <c r="D5" s="8" t="n">
        <f aca="false">SUMPRODUCT((Stock!B3:B200&lt;&gt;"")*(Stock!C3:C200&lt;(Stock!H3:H200*Config!B3/100)))</f>
        <v>0</v>
      </c>
      <c r="E5" s="8"/>
      <c r="F5" s="9" t="n">
        <f aca="false">SUMPRODUCT((Stock!B3:B200&lt;&gt;"")*Stock!C3:C200*Stock!M3:M200)</f>
        <v>0</v>
      </c>
      <c r="G5" s="9"/>
      <c r="H5" s="10" t="n">
        <f aca="false">SUMPRODUCT((Stock!B3:B200&lt;&gt;"")*Stock!C3:C200*Stock!N3:N200)</f>
        <v>0</v>
      </c>
      <c r="I5" s="10"/>
    </row>
    <row r="8" customFormat="false" ht="17.25" hidden="false" customHeight="true" outlineLevel="0" collapsed="false">
      <c r="A8" s="11" t="s">
        <v>21</v>
      </c>
      <c r="B8" s="11"/>
      <c r="C8" s="11"/>
      <c r="D8" s="11"/>
      <c r="E8" s="11"/>
      <c r="F8" s="11"/>
      <c r="G8" s="11"/>
      <c r="H8" s="11"/>
    </row>
    <row r="10" customFormat="false" ht="26.25" hidden="false" customHeight="true" outlineLevel="0" collapsed="false">
      <c r="A10" s="12" t="s">
        <v>22</v>
      </c>
      <c r="B10" s="12" t="s">
        <v>23</v>
      </c>
      <c r="C10" s="12" t="s">
        <v>24</v>
      </c>
      <c r="D10" s="12" t="s">
        <v>25</v>
      </c>
    </row>
    <row r="11" customFormat="false" ht="15" hidden="false" customHeight="true" outlineLevel="0" collapsed="false">
      <c r="A11" s="13" t="s">
        <v>26</v>
      </c>
      <c r="B11" s="13" t="n">
        <f aca="false">SUMIFS(Movimientos!E:E,Movimientos!B:B,"OUT",Movimientos!F:F,A11)</f>
        <v>0</v>
      </c>
      <c r="C11" s="14" t="n">
        <f aca="false">IFERROR(SUMPRODUCT((Movimientos!B3:B1000="OUT")*(Movimientos!F3:F1000=A11)*(Movimientos!I3:I1000)),0)</f>
        <v>0</v>
      </c>
      <c r="D11" s="15" t="n">
        <f aca="false">IFERROR(SUMPRODUCT((Movimientos!B3:B1000="OUT")*(Movimientos!F3:F1000=A11)*(Movimientos!J3:J1000)),0)</f>
        <v>0</v>
      </c>
    </row>
    <row r="12" customFormat="false" ht="15" hidden="false" customHeight="true" outlineLevel="0" collapsed="false">
      <c r="A12" s="16" t="s">
        <v>27</v>
      </c>
      <c r="B12" s="16" t="n">
        <f aca="false">SUMIFS(Movimientos!E:E,Movimientos!B:B,"OUT",Movimientos!F:F,A12)</f>
        <v>0</v>
      </c>
      <c r="C12" s="17" t="n">
        <f aca="false">IFERROR(SUMPRODUCT((Movimientos!B3:B1000="OUT")*(Movimientos!F3:F1000=A12)*(Movimientos!I3:I1000)),0)</f>
        <v>0</v>
      </c>
      <c r="D12" s="18" t="n">
        <f aca="false">IFERROR(SUMPRODUCT((Movimientos!B3:B1000="OUT")*(Movimientos!F3:F1000=A12)*(Movimientos!J3:J1000)),0)</f>
        <v>0</v>
      </c>
    </row>
    <row r="13" customFormat="false" ht="15" hidden="false" customHeight="true" outlineLevel="0" collapsed="false">
      <c r="A13" s="13" t="s">
        <v>28</v>
      </c>
      <c r="B13" s="13" t="n">
        <f aca="false">SUMIFS(Movimientos!E:E,Movimientos!B:B,"OUT",Movimientos!F:F,A13)</f>
        <v>0</v>
      </c>
      <c r="C13" s="14" t="n">
        <f aca="false">IFERROR(SUMPRODUCT((Movimientos!B3:B1000="OUT")*(Movimientos!F3:F1000=A13)*(Movimientos!I3:I1000)),0)</f>
        <v>0</v>
      </c>
      <c r="D13" s="15" t="n">
        <f aca="false">IFERROR(SUMPRODUCT((Movimientos!B3:B1000="OUT")*(Movimientos!F3:F1000=A13)*(Movimientos!J3:J1000)),0)</f>
        <v>0</v>
      </c>
    </row>
    <row r="14" customFormat="false" ht="15" hidden="false" customHeight="true" outlineLevel="0" collapsed="false">
      <c r="A14" s="16" t="s">
        <v>29</v>
      </c>
      <c r="B14" s="16" t="n">
        <f aca="false">SUMIFS(Movimientos!E:E,Movimientos!B:B,"OUT",Movimientos!F:F,A14)</f>
        <v>0</v>
      </c>
      <c r="C14" s="17" t="n">
        <f aca="false">IFERROR(SUMPRODUCT((Movimientos!B3:B1000="OUT")*(Movimientos!F3:F1000=A14)*(Movimientos!I3:I1000)),0)</f>
        <v>0</v>
      </c>
      <c r="D14" s="18" t="n">
        <f aca="false">IFERROR(SUMPRODUCT((Movimientos!B3:B1000="OUT")*(Movimientos!F3:F1000=A14)*(Movimientos!J3:J1000)),0)</f>
        <v>0</v>
      </c>
    </row>
    <row r="15" customFormat="false" ht="15" hidden="false" customHeight="true" outlineLevel="0" collapsed="false">
      <c r="A15" s="13" t="s">
        <v>30</v>
      </c>
      <c r="B15" s="13" t="n">
        <f aca="false">SUMIFS(Movimientos!E:E,Movimientos!B:B,"OUT",Movimientos!F:F,A15)</f>
        <v>0</v>
      </c>
      <c r="C15" s="14" t="n">
        <f aca="false">IFERROR(SUMPRODUCT((Movimientos!B3:B1000="OUT")*(Movimientos!F3:F1000=A15)*(Movimientos!I3:I1000)),0)</f>
        <v>0</v>
      </c>
      <c r="D15" s="15" t="n">
        <f aca="false">IFERROR(SUMPRODUCT((Movimientos!B3:B1000="OUT")*(Movimientos!F3:F1000=A15)*(Movimientos!J3:J1000)),0)</f>
        <v>0</v>
      </c>
    </row>
    <row r="16" customFormat="false" ht="15" hidden="false" customHeight="true" outlineLevel="0" collapsed="false">
      <c r="A16" s="16" t="s">
        <v>31</v>
      </c>
      <c r="B16" s="16" t="n">
        <f aca="false">SUMIFS(Movimientos!E:E,Movimientos!B:B,"OUT",Movimientos!F:F,A16)</f>
        <v>0</v>
      </c>
      <c r="C16" s="17" t="n">
        <f aca="false">IFERROR(SUMPRODUCT((Movimientos!B3:B1000="OUT")*(Movimientos!F3:F1000=A16)*(Movimientos!I3:I1000)),0)</f>
        <v>0</v>
      </c>
      <c r="D16" s="18" t="n">
        <f aca="false">IFERROR(SUMPRODUCT((Movimientos!B3:B1000="OUT")*(Movimientos!F3:F1000=A16)*(Movimientos!J3:J1000)),0)</f>
        <v>0</v>
      </c>
    </row>
    <row r="17" customFormat="false" ht="15" hidden="false" customHeight="true" outlineLevel="0" collapsed="false">
      <c r="A17" s="19" t="s">
        <v>32</v>
      </c>
      <c r="B17" s="19" t="n">
        <f aca="false">SUM(B11:B16)</f>
        <v>0</v>
      </c>
      <c r="C17" s="20" t="n">
        <f aca="false">IFERROR(SUM(C11:C16),0)</f>
        <v>0</v>
      </c>
      <c r="D17" s="21" t="n">
        <f aca="false">IFERROR(SUM(D11:D16),0)</f>
        <v>0</v>
      </c>
    </row>
    <row r="20" customFormat="false" ht="17.25" hidden="false" customHeight="true" outlineLevel="0" collapsed="false">
      <c r="A20" s="11" t="s">
        <v>33</v>
      </c>
      <c r="B20" s="11"/>
      <c r="C20" s="11"/>
      <c r="D20" s="11"/>
      <c r="E20" s="11"/>
      <c r="F20" s="11"/>
      <c r="G20" s="11"/>
      <c r="H20" s="11"/>
    </row>
    <row r="22" customFormat="false" ht="15" hidden="false" customHeight="true" outlineLevel="0" collapsed="false">
      <c r="A22" s="12" t="s">
        <v>34</v>
      </c>
      <c r="B22" s="12" t="s">
        <v>35</v>
      </c>
      <c r="C22" s="12" t="s">
        <v>36</v>
      </c>
      <c r="D22" s="12" t="s">
        <v>37</v>
      </c>
      <c r="E22" s="12" t="s">
        <v>38</v>
      </c>
    </row>
    <row r="23" customFormat="false" ht="15" hidden="false" customHeight="true" outlineLevel="0" collapsed="false">
      <c r="A23" s="13" t="s">
        <v>39</v>
      </c>
      <c r="B23" s="13" t="n">
        <f aca="false">COUNTIF(Stock!E:E,A23)</f>
        <v>3</v>
      </c>
      <c r="C23" s="13" t="n">
        <f aca="false">SUMIF(Stock!E:E,A23,Stock!C:C)</f>
        <v>0</v>
      </c>
      <c r="D23" s="14" t="n">
        <f aca="false">SUMPRODUCT((Stock!E3:E200=A23)*Stock!C3:C200*Stock!M3:M200)</f>
        <v>0</v>
      </c>
      <c r="E23" s="15" t="n">
        <f aca="false">SUMPRODUCT((Stock!E3:E200=A23)*Stock!C3:C200*Stock!N3:N200)</f>
        <v>0</v>
      </c>
    </row>
    <row r="24" customFormat="false" ht="15" hidden="false" customHeight="true" outlineLevel="0" collapsed="false">
      <c r="A24" s="16" t="s">
        <v>40</v>
      </c>
      <c r="B24" s="16" t="n">
        <f aca="false">COUNTIF(Stock!E:E,A24)</f>
        <v>2</v>
      </c>
      <c r="C24" s="16" t="n">
        <f aca="false">SUMIF(Stock!E:E,A24,Stock!C:C)</f>
        <v>0</v>
      </c>
      <c r="D24" s="17" t="n">
        <f aca="false">SUMPRODUCT((Stock!E3:E200=A24)*Stock!C3:C200*Stock!M3:M200)</f>
        <v>0</v>
      </c>
      <c r="E24" s="18" t="n">
        <f aca="false">SUMPRODUCT((Stock!E3:E200=A24)*Stock!C3:C200*Stock!N3:N200)</f>
        <v>0</v>
      </c>
    </row>
    <row r="25" customFormat="false" ht="15" hidden="false" customHeight="true" outlineLevel="0" collapsed="false">
      <c r="A25" s="13" t="s">
        <v>41</v>
      </c>
      <c r="B25" s="13" t="n">
        <f aca="false">COUNTIF(Stock!E:E,A25)</f>
        <v>1</v>
      </c>
      <c r="C25" s="13" t="n">
        <f aca="false">SUMIF(Stock!E:E,A25,Stock!C:C)</f>
        <v>0</v>
      </c>
      <c r="D25" s="14" t="n">
        <f aca="false">SUMPRODUCT((Stock!E3:E200=A25)*Stock!C3:C200*Stock!M3:M200)</f>
        <v>0</v>
      </c>
      <c r="E25" s="15" t="n">
        <f aca="false">SUMPRODUCT((Stock!E3:E200=A25)*Stock!C3:C200*Stock!N3:N200)</f>
        <v>0</v>
      </c>
    </row>
    <row r="26" customFormat="false" ht="15" hidden="false" customHeight="true" outlineLevel="0" collapsed="false">
      <c r="A26" s="16" t="s">
        <v>42</v>
      </c>
      <c r="B26" s="16" t="n">
        <f aca="false">COUNTIF(Stock!E:E,A26)</f>
        <v>1</v>
      </c>
      <c r="C26" s="16" t="n">
        <f aca="false">SUMIF(Stock!E:E,A26,Stock!C:C)</f>
        <v>0</v>
      </c>
      <c r="D26" s="17" t="n">
        <f aca="false">SUMPRODUCT((Stock!E3:E200=A26)*Stock!C3:C200*Stock!M3:M200)</f>
        <v>0</v>
      </c>
      <c r="E26" s="18" t="n">
        <f aca="false">SUMPRODUCT((Stock!E3:E200=A26)*Stock!C3:C200*Stock!N3:N200)</f>
        <v>0</v>
      </c>
    </row>
    <row r="27" customFormat="false" ht="15" hidden="false" customHeight="true" outlineLevel="0" collapsed="false">
      <c r="A27" s="13" t="s">
        <v>43</v>
      </c>
      <c r="B27" s="13" t="n">
        <f aca="false">COUNTIF(Stock!E:E,A27)</f>
        <v>2</v>
      </c>
      <c r="C27" s="13" t="n">
        <f aca="false">SUMIF(Stock!E:E,A27,Stock!C:C)</f>
        <v>0</v>
      </c>
      <c r="D27" s="14" t="n">
        <f aca="false">SUMPRODUCT((Stock!E3:E200=A27)*Stock!C3:C200*Stock!M3:M200)</f>
        <v>0</v>
      </c>
      <c r="E27" s="15" t="n">
        <f aca="false">SUMPRODUCT((Stock!E3:E200=A27)*Stock!C3:C200*Stock!N3:N200)</f>
        <v>0</v>
      </c>
    </row>
    <row r="28" customFormat="false" ht="15" hidden="false" customHeight="true" outlineLevel="0" collapsed="false">
      <c r="A28" s="16" t="s">
        <v>44</v>
      </c>
      <c r="B28" s="16" t="n">
        <f aca="false">COUNTIF(Stock!E:E,A28)</f>
        <v>2</v>
      </c>
      <c r="C28" s="16" t="n">
        <f aca="false">SUMIF(Stock!E:E,A28,Stock!C:C)</f>
        <v>0</v>
      </c>
      <c r="D28" s="17" t="n">
        <f aca="false">SUMPRODUCT((Stock!E3:E200=A28)*Stock!C3:C200*Stock!M3:M200)</f>
        <v>0</v>
      </c>
      <c r="E28" s="18" t="n">
        <f aca="false">SUMPRODUCT((Stock!E3:E200=A28)*Stock!C3:C200*Stock!N3:N200)</f>
        <v>0</v>
      </c>
    </row>
    <row r="29" customFormat="false" ht="15" hidden="false" customHeight="true" outlineLevel="0" collapsed="false">
      <c r="A29" s="13" t="s">
        <v>45</v>
      </c>
      <c r="B29" s="13" t="n">
        <f aca="false">COUNTIF(Stock!E:E,A29)</f>
        <v>8</v>
      </c>
      <c r="C29" s="13" t="n">
        <f aca="false">SUMIF(Stock!E:E,A29,Stock!C:C)</f>
        <v>0</v>
      </c>
      <c r="D29" s="14" t="n">
        <f aca="false">SUMPRODUCT((Stock!E3:E200=A29)*Stock!C3:C200*Stock!M3:M200)</f>
        <v>0</v>
      </c>
      <c r="E29" s="15" t="n">
        <f aca="false">SUMPRODUCT((Stock!E3:E200=A29)*Stock!C3:C200*Stock!N3:N200)</f>
        <v>0</v>
      </c>
    </row>
    <row r="30" customFormat="false" ht="15" hidden="false" customHeight="true" outlineLevel="0" collapsed="false">
      <c r="A30" s="16" t="s">
        <v>46</v>
      </c>
      <c r="B30" s="16" t="n">
        <f aca="false">COUNTIF(Stock!E:E,A30)</f>
        <v>1</v>
      </c>
      <c r="C30" s="16" t="n">
        <f aca="false">SUMIF(Stock!E:E,A30,Stock!C:C)</f>
        <v>0</v>
      </c>
      <c r="D30" s="17" t="n">
        <f aca="false">SUMPRODUCT((Stock!E3:E200=A30)*Stock!C3:C200*Stock!M3:M200)</f>
        <v>0</v>
      </c>
      <c r="E30" s="18" t="n">
        <f aca="false">SUMPRODUCT((Stock!E3:E200=A30)*Stock!C3:C200*Stock!N3:N200)</f>
        <v>0</v>
      </c>
    </row>
    <row r="31" customFormat="false" ht="15" hidden="false" customHeight="true" outlineLevel="0" collapsed="false">
      <c r="A31" s="13" t="s">
        <v>47</v>
      </c>
      <c r="B31" s="13" t="n">
        <f aca="false">COUNTIF(Stock!E:E,A31)</f>
        <v>1</v>
      </c>
      <c r="C31" s="13" t="n">
        <f aca="false">SUMIF(Stock!E:E,A31,Stock!C:C)</f>
        <v>0</v>
      </c>
      <c r="D31" s="14" t="n">
        <f aca="false">SUMPRODUCT((Stock!E3:E200=A31)*Stock!C3:C200*Stock!M3:M200)</f>
        <v>0</v>
      </c>
      <c r="E31" s="15" t="n">
        <f aca="false">SUMPRODUCT((Stock!E3:E200=A31)*Stock!C3:C200*Stock!N3:N200)</f>
        <v>0</v>
      </c>
    </row>
    <row r="32" customFormat="false" ht="15" hidden="false" customHeight="true" outlineLevel="0" collapsed="false">
      <c r="A32" s="16" t="s">
        <v>48</v>
      </c>
      <c r="B32" s="16" t="n">
        <f aca="false">COUNTIF(Stock!E:E,A32)</f>
        <v>1</v>
      </c>
      <c r="C32" s="16" t="n">
        <f aca="false">SUMIF(Stock!E:E,A32,Stock!C:C)</f>
        <v>0</v>
      </c>
      <c r="D32" s="17" t="n">
        <f aca="false">SUMPRODUCT((Stock!E3:E200=A32)*Stock!C3:C200*Stock!M3:M200)</f>
        <v>0</v>
      </c>
      <c r="E32" s="18" t="n">
        <f aca="false">SUMPRODUCT((Stock!E3:E200=A32)*Stock!C3:C200*Stock!N3:N200)</f>
        <v>0</v>
      </c>
    </row>
    <row r="33" customFormat="false" ht="15" hidden="false" customHeight="true" outlineLevel="0" collapsed="false">
      <c r="A33" s="13" t="s">
        <v>49</v>
      </c>
      <c r="B33" s="13" t="n">
        <f aca="false">COUNTIF(Stock!E:E,A33)</f>
        <v>2</v>
      </c>
      <c r="C33" s="13" t="n">
        <f aca="false">SUMIF(Stock!E:E,A33,Stock!C:C)</f>
        <v>0</v>
      </c>
      <c r="D33" s="14" t="n">
        <f aca="false">SUMPRODUCT((Stock!E3:E200=A33)*Stock!C3:C200*Stock!M3:M200)</f>
        <v>0</v>
      </c>
      <c r="E33" s="15" t="n">
        <f aca="false">SUMPRODUCT((Stock!E3:E200=A33)*Stock!C3:C200*Stock!N3:N200)</f>
        <v>0</v>
      </c>
    </row>
    <row r="34" customFormat="false" ht="15" hidden="false" customHeight="true" outlineLevel="0" collapsed="false">
      <c r="A34" s="16" t="s">
        <v>50</v>
      </c>
      <c r="B34" s="16" t="n">
        <f aca="false">COUNTIF(Stock!E:E,A34)</f>
        <v>4</v>
      </c>
      <c r="C34" s="16" t="n">
        <f aca="false">SUMIF(Stock!E:E,A34,Stock!C:C)</f>
        <v>0</v>
      </c>
      <c r="D34" s="17" t="n">
        <f aca="false">SUMPRODUCT((Stock!E3:E200=A34)*Stock!C3:C200*Stock!M3:M200)</f>
        <v>0</v>
      </c>
      <c r="E34" s="18" t="n">
        <f aca="false">SUMPRODUCT((Stock!E3:E200=A34)*Stock!C3:C200*Stock!N3:N200)</f>
        <v>0</v>
      </c>
    </row>
  </sheetData>
  <mergeCells count="12">
    <mergeCell ref="A1:H1"/>
    <mergeCell ref="A2:H2"/>
    <mergeCell ref="B4:C4"/>
    <mergeCell ref="D4:E4"/>
    <mergeCell ref="F4:G4"/>
    <mergeCell ref="H4:I4"/>
    <mergeCell ref="B5:C5"/>
    <mergeCell ref="D5:E5"/>
    <mergeCell ref="F5:G5"/>
    <mergeCell ref="H5:I5"/>
    <mergeCell ref="A8:H8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16"/>
    <col collapsed="false" customWidth="true" hidden="false" outlineLevel="0" max="8" min="7" style="1" width="28"/>
    <col collapsed="false" customWidth="true" hidden="false" outlineLevel="0" max="9" min="9" style="1" width="12"/>
    <col collapsed="false" customWidth="true" hidden="false" outlineLevel="0" max="10" min="10" style="1" width="9"/>
    <col collapsed="false" customWidth="true" hidden="false" outlineLevel="0" max="11" min="11" style="1" width="18"/>
    <col collapsed="false" customWidth="true" hidden="false" outlineLevel="0" max="12" min="12" style="1" width="12"/>
    <col collapsed="false" customWidth="true" hidden="false" outlineLevel="0" max="14" min="13" style="1" width="14"/>
  </cols>
  <sheetData>
    <row r="1" customFormat="false" ht="17.25" hidden="false" customHeight="true" outlineLevel="0" collapsed="false">
      <c r="A1" s="11" t="s">
        <v>51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30" hidden="false" customHeight="true" outlineLevel="0" collapsed="false">
      <c r="A2" s="12" t="s">
        <v>52</v>
      </c>
      <c r="B2" s="12" t="s">
        <v>53</v>
      </c>
      <c r="C2" s="12" t="s">
        <v>54</v>
      </c>
      <c r="D2" s="12" t="s">
        <v>55</v>
      </c>
      <c r="E2" s="12" t="s">
        <v>34</v>
      </c>
      <c r="F2" s="12" t="s">
        <v>56</v>
      </c>
      <c r="G2" s="12" t="s">
        <v>57</v>
      </c>
      <c r="H2" s="22" t="s">
        <v>58</v>
      </c>
      <c r="I2" s="12" t="s">
        <v>59</v>
      </c>
      <c r="J2" s="12" t="s">
        <v>60</v>
      </c>
      <c r="K2" s="12" t="s">
        <v>61</v>
      </c>
      <c r="L2" s="12" t="s">
        <v>62</v>
      </c>
      <c r="M2" s="12" t="s">
        <v>63</v>
      </c>
      <c r="N2" s="12" t="s">
        <v>64</v>
      </c>
      <c r="O2" s="12" t="s">
        <v>65</v>
      </c>
    </row>
    <row r="3" customFormat="false" ht="64.5" hidden="false" customHeight="true" outlineLevel="0" collapsed="false">
      <c r="A3" s="23"/>
      <c r="B3" s="23" t="s">
        <v>66</v>
      </c>
      <c r="C3" s="24" t="n">
        <v>0</v>
      </c>
      <c r="D3" s="23" t="str">
        <f aca="false">IF(C3=0,"SIN STOCK",IF(AND(H3&gt;0,C3&lt;H3*Config!$B$3/100),"CRÍTICO",IF(AND(H3&gt;0,C3&lt;H3*0.5),"BAJO","OK")))</f>
        <v>SIN STOCK</v>
      </c>
      <c r="E3" s="23" t="s">
        <v>45</v>
      </c>
      <c r="F3" s="23" t="s">
        <v>67</v>
      </c>
      <c r="G3" s="23" t="s">
        <v>68</v>
      </c>
      <c r="I3" s="24" t="n">
        <v>5</v>
      </c>
      <c r="J3" s="24" t="n">
        <v>10</v>
      </c>
      <c r="K3" s="23" t="s">
        <v>69</v>
      </c>
      <c r="L3" s="23" t="s">
        <v>70</v>
      </c>
      <c r="M3" s="23" t="n">
        <v>686.79</v>
      </c>
      <c r="N3" s="25" t="n">
        <f aca="false">IF(J3="USD",L3,IF(J3="ARS",L3/Config!$B$2,0))</f>
        <v>0</v>
      </c>
      <c r="O3" s="26" t="n">
        <f aca="false">IF(J3="ARS",L3,IF(J3="USD",L3*Config!$B$2,0))</f>
        <v>0</v>
      </c>
    </row>
    <row r="4" customFormat="false" ht="64.5" hidden="false" customHeight="true" outlineLevel="0" collapsed="false">
      <c r="A4" s="23"/>
      <c r="B4" s="23" t="s">
        <v>71</v>
      </c>
      <c r="C4" s="24" t="n">
        <v>0</v>
      </c>
      <c r="D4" s="23" t="str">
        <f aca="false">IF(C4=0,"SIN STOCK",IF(AND(H4&gt;0,C4&lt;H4*Config!$B$3/100),"CRÍTICO",IF(AND(H4&gt;0,C4&lt;H4*0.5),"BAJO","OK")))</f>
        <v>SIN STOCK</v>
      </c>
      <c r="E4" s="23" t="s">
        <v>45</v>
      </c>
      <c r="F4" s="23" t="s">
        <v>67</v>
      </c>
      <c r="G4" s="23" t="s">
        <v>72</v>
      </c>
      <c r="I4" s="24" t="n">
        <v>1</v>
      </c>
      <c r="J4" s="24" t="n">
        <v>0</v>
      </c>
      <c r="K4" s="23" t="s">
        <v>69</v>
      </c>
      <c r="L4" s="23" t="s">
        <v>73</v>
      </c>
      <c r="M4" s="23" t="n">
        <v>895.44</v>
      </c>
      <c r="N4" s="25" t="n">
        <f aca="false">IF(J4="USD",L4,IF(J4="ARS",L4/Config!$B$2,0))</f>
        <v>0</v>
      </c>
      <c r="O4" s="26" t="n">
        <f aca="false">IF(J4="ARS",L4,IF(J4="USD",L4*Config!$B$2,0))</f>
        <v>0</v>
      </c>
    </row>
    <row r="5" customFormat="false" ht="64.5" hidden="false" customHeight="true" outlineLevel="0" collapsed="false">
      <c r="A5" s="23"/>
      <c r="B5" s="23" t="s">
        <v>74</v>
      </c>
      <c r="C5" s="24" t="n">
        <v>0</v>
      </c>
      <c r="D5" s="23" t="str">
        <f aca="false">IF(C5=0,"SIN STOCK",IF(AND(H5&gt;0,C5&lt;H5*Config!$B$3/100),"CRÍTICO",IF(AND(H5&gt;0,C5&lt;H5*0.5),"BAJO","OK")))</f>
        <v>SIN STOCK</v>
      </c>
      <c r="E5" s="23" t="s">
        <v>41</v>
      </c>
      <c r="F5" s="23" t="s">
        <v>67</v>
      </c>
      <c r="G5" s="23"/>
      <c r="I5" s="24" t="n">
        <v>3</v>
      </c>
      <c r="J5" s="24" t="n">
        <v>3</v>
      </c>
      <c r="K5" s="23" t="s">
        <v>69</v>
      </c>
      <c r="L5" s="23" t="s">
        <v>75</v>
      </c>
      <c r="M5" s="23" t="n">
        <v>177.76</v>
      </c>
      <c r="N5" s="25" t="n">
        <f aca="false">IF(J5="USD",L5,IF(J5="ARS",L5/Config!$B$2,0))</f>
        <v>0</v>
      </c>
      <c r="O5" s="26" t="n">
        <f aca="false">IF(J5="ARS",L5,IF(J5="USD",L5*Config!$B$2,0))</f>
        <v>0</v>
      </c>
    </row>
    <row r="6" customFormat="false" ht="64.5" hidden="false" customHeight="true" outlineLevel="0" collapsed="false">
      <c r="A6" s="23"/>
      <c r="B6" s="23" t="s">
        <v>76</v>
      </c>
      <c r="C6" s="24" t="n">
        <v>0</v>
      </c>
      <c r="D6" s="23" t="str">
        <f aca="false">IF(C6=0,"SIN STOCK",IF(AND(H6&gt;0,C6&lt;H6*Config!$B$3/100),"CRÍTICO",IF(AND(H6&gt;0,C6&lt;H6*0.5),"BAJO","OK")))</f>
        <v>SIN STOCK</v>
      </c>
      <c r="E6" s="23" t="s">
        <v>45</v>
      </c>
      <c r="F6" s="23" t="s">
        <v>67</v>
      </c>
      <c r="G6" s="23"/>
      <c r="I6" s="24" t="n">
        <v>15</v>
      </c>
      <c r="J6" s="24" t="n">
        <v>20</v>
      </c>
      <c r="K6" s="23" t="s">
        <v>69</v>
      </c>
      <c r="L6" s="23" t="s">
        <v>77</v>
      </c>
      <c r="M6" s="23" t="n">
        <v>260.31</v>
      </c>
      <c r="N6" s="25" t="n">
        <f aca="false">IF(J6="USD",L6,IF(J6="ARS",L6/Config!$B$2,0))</f>
        <v>0</v>
      </c>
      <c r="O6" s="26" t="n">
        <f aca="false">IF(J6="ARS",L6,IF(J6="USD",L6*Config!$B$2,0))</f>
        <v>0</v>
      </c>
    </row>
    <row r="7" customFormat="false" ht="64.5" hidden="false" customHeight="true" outlineLevel="0" collapsed="false">
      <c r="A7" s="23"/>
      <c r="B7" s="23" t="s">
        <v>78</v>
      </c>
      <c r="C7" s="24" t="n">
        <v>0</v>
      </c>
      <c r="D7" s="23" t="str">
        <f aca="false">IF(C7=0,"SIN STOCK",IF(AND(H7&gt;0,C7&lt;H7*Config!$B$3/100),"CRÍTICO",IF(AND(H7&gt;0,C7&lt;H7*0.5),"BAJO","OK")))</f>
        <v>SIN STOCK</v>
      </c>
      <c r="E7" s="23" t="s">
        <v>45</v>
      </c>
      <c r="F7" s="23" t="s">
        <v>67</v>
      </c>
      <c r="G7" s="23"/>
      <c r="I7" s="24" t="n">
        <v>10</v>
      </c>
      <c r="J7" s="24" t="n">
        <v>20</v>
      </c>
      <c r="K7" s="23" t="s">
        <v>69</v>
      </c>
      <c r="L7" s="23" t="s">
        <v>79</v>
      </c>
      <c r="M7" s="23" t="n">
        <v>271.77</v>
      </c>
      <c r="N7" s="25" t="n">
        <f aca="false">IF(J7="USD",L7,IF(J7="ARS",L7/Config!$B$2,0))</f>
        <v>0</v>
      </c>
      <c r="O7" s="26" t="n">
        <f aca="false">IF(J7="ARS",L7,IF(J7="USD",L7*Config!$B$2,0))</f>
        <v>0</v>
      </c>
    </row>
    <row r="8" customFormat="false" ht="64.5" hidden="false" customHeight="true" outlineLevel="0" collapsed="false">
      <c r="A8" s="23"/>
      <c r="B8" s="23" t="s">
        <v>80</v>
      </c>
      <c r="C8" s="24" t="n">
        <v>0</v>
      </c>
      <c r="D8" s="23" t="str">
        <f aca="false">IF(C8=0,"SIN STOCK",IF(AND(H8&gt;0,C8&lt;H8*Config!$B$3/100),"CRÍTICO",IF(AND(H8&gt;0,C8&lt;H8*0.5),"BAJO","OK")))</f>
        <v>SIN STOCK</v>
      </c>
      <c r="E8" s="23" t="s">
        <v>40</v>
      </c>
      <c r="F8" s="23" t="s">
        <v>67</v>
      </c>
      <c r="G8" s="23"/>
      <c r="I8" s="24" t="n">
        <v>3</v>
      </c>
      <c r="J8" s="24" t="n">
        <v>5</v>
      </c>
      <c r="K8" s="23" t="s">
        <v>69</v>
      </c>
      <c r="L8" s="23" t="s">
        <v>75</v>
      </c>
      <c r="M8" s="23" t="n">
        <v>177.76</v>
      </c>
      <c r="N8" s="25" t="n">
        <f aca="false">IF(J8="USD",L8,IF(J8="ARS",L8/Config!$B$2,0))</f>
        <v>0</v>
      </c>
      <c r="O8" s="26" t="n">
        <f aca="false">IF(J8="ARS",L8,IF(J8="USD",L8*Config!$B$2,0))</f>
        <v>0</v>
      </c>
    </row>
    <row r="9" customFormat="false" ht="64.5" hidden="false" customHeight="true" outlineLevel="0" collapsed="false">
      <c r="A9" s="23"/>
      <c r="B9" s="23" t="s">
        <v>81</v>
      </c>
      <c r="C9" s="24" t="n">
        <v>0</v>
      </c>
      <c r="D9" s="23" t="str">
        <f aca="false">IF(C9=0,"SIN STOCK",IF(AND(H9&gt;0,C9&lt;H9*Config!$B$3/100),"CRÍTICO",IF(AND(H9&gt;0,C9&lt;H9*0.5),"BAJO","OK")))</f>
        <v>SIN STOCK</v>
      </c>
      <c r="E9" s="23" t="s">
        <v>40</v>
      </c>
      <c r="F9" s="23" t="s">
        <v>67</v>
      </c>
      <c r="G9" s="23"/>
      <c r="I9" s="24" t="n">
        <v>3</v>
      </c>
      <c r="J9" s="24" t="n">
        <v>5</v>
      </c>
      <c r="K9" s="23" t="s">
        <v>69</v>
      </c>
      <c r="L9" s="23" t="s">
        <v>82</v>
      </c>
      <c r="M9" s="23" t="n">
        <v>212.16</v>
      </c>
      <c r="N9" s="25" t="n">
        <f aca="false">IF(J9="USD",L9,IF(J9="ARS",L9/Config!$B$2,0))</f>
        <v>0</v>
      </c>
      <c r="O9" s="26" t="n">
        <f aca="false">IF(J9="ARS",L9,IF(J9="USD",L9*Config!$B$2,0))</f>
        <v>0</v>
      </c>
    </row>
    <row r="10" customFormat="false" ht="64.5" hidden="false" customHeight="true" outlineLevel="0" collapsed="false">
      <c r="A10" s="23"/>
      <c r="B10" s="23" t="s">
        <v>83</v>
      </c>
      <c r="C10" s="24" t="n">
        <v>0</v>
      </c>
      <c r="D10" s="23" t="str">
        <f aca="false">IF(C10=0,"SIN STOCK",IF(AND(H10&gt;0,C10&lt;H10*Config!$B$3/100),"CRÍTICO",IF(AND(H10&gt;0,C10&lt;H10*0.5),"BAJO","OK")))</f>
        <v>SIN STOCK</v>
      </c>
      <c r="E10" s="23" t="s">
        <v>48</v>
      </c>
      <c r="F10" s="23" t="s">
        <v>67</v>
      </c>
      <c r="G10" s="23"/>
      <c r="I10" s="24" t="n">
        <v>0</v>
      </c>
      <c r="J10" s="24" t="n">
        <v>0</v>
      </c>
      <c r="K10" s="23"/>
      <c r="L10" s="23"/>
      <c r="M10" s="23" t="n">
        <v>0</v>
      </c>
      <c r="N10" s="25" t="n">
        <f aca="false">IF(J10="USD",L10,IF(J10="ARS",L10/Config!$B$2,0))</f>
        <v>0</v>
      </c>
      <c r="O10" s="26" t="n">
        <f aca="false">IF(J10="ARS",L10,IF(J10="USD",L10*Config!$B$2,0))</f>
        <v>0</v>
      </c>
    </row>
    <row r="11" customFormat="false" ht="64.5" hidden="false" customHeight="true" outlineLevel="0" collapsed="false">
      <c r="A11" s="23"/>
      <c r="B11" s="23" t="s">
        <v>84</v>
      </c>
      <c r="C11" s="24" t="n">
        <v>0</v>
      </c>
      <c r="D11" s="23" t="str">
        <f aca="false">IF(C11=0,"SIN STOCK",IF(AND(H11&gt;0,C11&lt;H11*Config!$B$3/100),"CRÍTICO",IF(AND(H11&gt;0,C11&lt;H11*0.5),"BAJO","OK")))</f>
        <v>SIN STOCK</v>
      </c>
      <c r="E11" s="23" t="s">
        <v>45</v>
      </c>
      <c r="F11" s="23" t="s">
        <v>67</v>
      </c>
      <c r="G11" s="23" t="s">
        <v>85</v>
      </c>
      <c r="I11" s="24" t="n">
        <v>30</v>
      </c>
      <c r="J11" s="24" t="n">
        <v>80</v>
      </c>
      <c r="K11" s="23" t="s">
        <v>69</v>
      </c>
      <c r="L11" s="23" t="s">
        <v>86</v>
      </c>
      <c r="M11" s="23" t="n">
        <v>72.29</v>
      </c>
      <c r="N11" s="25" t="n">
        <f aca="false">IF(J11="USD",L11,IF(J11="ARS",L11/Config!$B$2,0))</f>
        <v>0</v>
      </c>
      <c r="O11" s="26" t="n">
        <f aca="false">IF(J11="ARS",L11,IF(J11="USD",L11*Config!$B$2,0))</f>
        <v>0</v>
      </c>
    </row>
    <row r="12" customFormat="false" ht="64.5" hidden="false" customHeight="true" outlineLevel="0" collapsed="false">
      <c r="A12" s="23"/>
      <c r="B12" s="23" t="s">
        <v>87</v>
      </c>
      <c r="C12" s="24" t="n">
        <v>0</v>
      </c>
      <c r="D12" s="23" t="str">
        <f aca="false">IF(C12=0,"SIN STOCK",IF(AND(H12&gt;0,C12&lt;H12*Config!$B$3/100),"CRÍTICO",IF(AND(H12&gt;0,C12&lt;H12*0.5),"BAJO","OK")))</f>
        <v>SIN STOCK</v>
      </c>
      <c r="E12" s="23" t="s">
        <v>45</v>
      </c>
      <c r="F12" s="23" t="s">
        <v>67</v>
      </c>
      <c r="G12" s="23"/>
      <c r="I12" s="24" t="n">
        <v>5</v>
      </c>
      <c r="J12" s="24" t="n">
        <v>10</v>
      </c>
      <c r="K12" s="23" t="s">
        <v>69</v>
      </c>
      <c r="L12" s="23" t="s">
        <v>88</v>
      </c>
      <c r="M12" s="23" t="n">
        <v>161.71</v>
      </c>
      <c r="N12" s="25" t="n">
        <f aca="false">IF(J12="USD",L12,IF(J12="ARS",L12/Config!$B$2,0))</f>
        <v>0</v>
      </c>
      <c r="O12" s="26" t="n">
        <f aca="false">IF(J12="ARS",L12,IF(J12="USD",L12*Config!$B$2,0))</f>
        <v>0</v>
      </c>
    </row>
    <row r="13" customFormat="false" ht="64.5" hidden="false" customHeight="true" outlineLevel="0" collapsed="false">
      <c r="A13" s="23"/>
      <c r="B13" s="23" t="s">
        <v>89</v>
      </c>
      <c r="C13" s="24" t="n">
        <v>0</v>
      </c>
      <c r="D13" s="23" t="str">
        <f aca="false">IF(C13=0,"SIN STOCK",IF(AND(H13&gt;0,C13&lt;H13*Config!$B$3/100),"CRÍTICO",IF(AND(H13&gt;0,C13&lt;H13*0.5),"BAJO","OK")))</f>
        <v>SIN STOCK</v>
      </c>
      <c r="E13" s="23" t="s">
        <v>45</v>
      </c>
      <c r="F13" s="23" t="s">
        <v>67</v>
      </c>
      <c r="G13" s="23"/>
      <c r="I13" s="24" t="n">
        <v>29</v>
      </c>
      <c r="J13" s="24" t="n">
        <v>50</v>
      </c>
      <c r="K13" s="23" t="s">
        <v>69</v>
      </c>
      <c r="L13" s="23" t="s">
        <v>90</v>
      </c>
      <c r="M13" s="23" t="n">
        <v>349.73</v>
      </c>
      <c r="N13" s="25" t="n">
        <f aca="false">IF(J13="USD",L13,IF(J13="ARS",L13/Config!$B$2,0))</f>
        <v>0</v>
      </c>
      <c r="O13" s="26" t="n">
        <f aca="false">IF(J13="ARS",L13,IF(J13="USD",L13*Config!$B$2,0))</f>
        <v>0</v>
      </c>
    </row>
    <row r="14" customFormat="false" ht="64.5" hidden="false" customHeight="true" outlineLevel="0" collapsed="false">
      <c r="A14" s="23"/>
      <c r="B14" s="23" t="s">
        <v>91</v>
      </c>
      <c r="C14" s="24" t="n">
        <v>0</v>
      </c>
      <c r="D14" s="23" t="str">
        <f aca="false">IF(C14=0,"SIN STOCK",IF(AND(H14&gt;0,C14&lt;H14*Config!$B$3/100),"CRÍTICO",IF(AND(H14&gt;0,C14&lt;H14*0.5),"BAJO","OK")))</f>
        <v>SIN STOCK</v>
      </c>
      <c r="E14" s="23" t="s">
        <v>45</v>
      </c>
      <c r="F14" s="23" t="s">
        <v>67</v>
      </c>
      <c r="G14" s="23"/>
      <c r="I14" s="24" t="n">
        <v>4</v>
      </c>
      <c r="J14" s="24" t="n">
        <v>10</v>
      </c>
      <c r="K14" s="23" t="s">
        <v>69</v>
      </c>
      <c r="L14" s="23" t="s">
        <v>92</v>
      </c>
      <c r="M14" s="23" t="n">
        <v>393.3</v>
      </c>
      <c r="N14" s="25" t="n">
        <f aca="false">IF(J14="USD",L14,IF(J14="ARS",L14/Config!$B$2,0))</f>
        <v>0</v>
      </c>
      <c r="O14" s="26" t="n">
        <f aca="false">IF(J14="ARS",L14,IF(J14="USD",L14*Config!$B$2,0))</f>
        <v>0</v>
      </c>
    </row>
    <row r="15" customFormat="false" ht="64.5" hidden="false" customHeight="true" outlineLevel="0" collapsed="false">
      <c r="A15" s="23"/>
      <c r="B15" s="23" t="s">
        <v>93</v>
      </c>
      <c r="C15" s="24" t="n">
        <v>0</v>
      </c>
      <c r="D15" s="23" t="str">
        <f aca="false">IF(C15=0,"SIN STOCK",IF(AND(H15&gt;0,C15&lt;H15*Config!$B$3/100),"CRÍTICO",IF(AND(H15&gt;0,C15&lt;H15*0.5),"BAJO","OK")))</f>
        <v>SIN STOCK</v>
      </c>
      <c r="E15" s="23" t="s">
        <v>42</v>
      </c>
      <c r="F15" s="23" t="s">
        <v>94</v>
      </c>
      <c r="G15" s="23"/>
      <c r="I15" s="24"/>
      <c r="J15" s="24" t="n">
        <v>10</v>
      </c>
      <c r="K15" s="23" t="s">
        <v>95</v>
      </c>
      <c r="L15" s="23" t="s">
        <v>96</v>
      </c>
      <c r="M15" s="23" t="n">
        <v>8000</v>
      </c>
      <c r="N15" s="25" t="n">
        <f aca="false">IF(J15="USD",L15,IF(J15="ARS",L15/Config!$B$2,0))</f>
        <v>0</v>
      </c>
      <c r="O15" s="26" t="n">
        <f aca="false">IF(J15="ARS",L15,IF(J15="USD",L15*Config!$B$2,0))</f>
        <v>0</v>
      </c>
    </row>
    <row r="16" customFormat="false" ht="64.5" hidden="false" customHeight="true" outlineLevel="0" collapsed="false">
      <c r="A16" s="23"/>
      <c r="B16" s="23" t="s">
        <v>97</v>
      </c>
      <c r="C16" s="24" t="n">
        <v>0</v>
      </c>
      <c r="D16" s="23" t="str">
        <f aca="false">IF(C16=0,"SIN STOCK",IF(AND(H16&gt;0,C16&lt;H16*Config!$B$3/100),"CRÍTICO",IF(AND(H16&gt;0,C16&lt;H16*0.5),"BAJO","OK")))</f>
        <v>SIN STOCK</v>
      </c>
      <c r="E16" s="23" t="s">
        <v>43</v>
      </c>
      <c r="F16" s="23" t="s">
        <v>94</v>
      </c>
      <c r="G16" s="23"/>
      <c r="I16" s="24" t="n">
        <v>5</v>
      </c>
      <c r="J16" s="24" t="n">
        <v>10</v>
      </c>
      <c r="K16" s="23" t="s">
        <v>95</v>
      </c>
      <c r="L16" s="23" t="s">
        <v>98</v>
      </c>
      <c r="M16" s="23" t="n">
        <v>9500</v>
      </c>
      <c r="N16" s="25" t="n">
        <f aca="false">IF(J16="USD",L16,IF(J16="ARS",L16/Config!$B$2,0))</f>
        <v>0</v>
      </c>
      <c r="O16" s="26" t="n">
        <f aca="false">IF(J16="ARS",L16,IF(J16="USD",L16*Config!$B$2,0))</f>
        <v>0</v>
      </c>
    </row>
    <row r="17" customFormat="false" ht="64.5" hidden="false" customHeight="true" outlineLevel="0" collapsed="false">
      <c r="A17" s="23"/>
      <c r="B17" s="23" t="s">
        <v>99</v>
      </c>
      <c r="C17" s="24" t="n">
        <v>0</v>
      </c>
      <c r="D17" s="23" t="str">
        <f aca="false">IF(C17=0,"SIN STOCK",IF(AND(H17&gt;0,C17&lt;H17*Config!$B$3/100),"CRÍTICO",IF(AND(H17&gt;0,C17&lt;H17*0.5),"BAJO","OK")))</f>
        <v>SIN STOCK</v>
      </c>
      <c r="E17" s="23" t="s">
        <v>43</v>
      </c>
      <c r="F17" s="23" t="s">
        <v>94</v>
      </c>
      <c r="G17" s="23"/>
      <c r="I17" s="24" t="n">
        <v>5</v>
      </c>
      <c r="J17" s="24" t="n">
        <v>10</v>
      </c>
      <c r="K17" s="23" t="s">
        <v>95</v>
      </c>
      <c r="L17" s="23" t="s">
        <v>100</v>
      </c>
      <c r="M17" s="23" t="n">
        <v>15000</v>
      </c>
      <c r="N17" s="25" t="n">
        <f aca="false">IF(J17="USD",L17,IF(J17="ARS",L17/Config!$B$2,0))</f>
        <v>0</v>
      </c>
      <c r="O17" s="26" t="n">
        <f aca="false">IF(J17="ARS",L17,IF(J17="USD",L17*Config!$B$2,0))</f>
        <v>0</v>
      </c>
    </row>
    <row r="18" customFormat="false" ht="64.5" hidden="false" customHeight="true" outlineLevel="0" collapsed="false">
      <c r="A18" s="23"/>
      <c r="B18" s="23" t="s">
        <v>101</v>
      </c>
      <c r="C18" s="24" t="n">
        <v>0</v>
      </c>
      <c r="D18" s="23" t="str">
        <f aca="false">IF(C18=0,"SIN STOCK",IF(AND(H18&gt;0,C18&lt;H18*Config!$B$3/100),"CRÍTICO",IF(AND(H18&gt;0,C18&lt;H18*0.5),"BAJO","OK")))</f>
        <v>SIN STOCK</v>
      </c>
      <c r="E18" s="23" t="s">
        <v>44</v>
      </c>
      <c r="F18" s="23" t="s">
        <v>94</v>
      </c>
      <c r="G18" s="23" t="s">
        <v>102</v>
      </c>
      <c r="I18" s="24" t="n">
        <v>3</v>
      </c>
      <c r="J18" s="24" t="n">
        <v>10</v>
      </c>
      <c r="K18" s="23" t="s">
        <v>95</v>
      </c>
      <c r="L18" s="23" t="n">
        <v>59900</v>
      </c>
      <c r="M18" s="23" t="n">
        <v>59900</v>
      </c>
      <c r="N18" s="25" t="n">
        <f aca="false">IF(J18="USD",L18,IF(J18="ARS",L18/Config!$B$2,0))</f>
        <v>0</v>
      </c>
      <c r="O18" s="26" t="n">
        <f aca="false">IF(J18="ARS",L18,IF(J18="USD",L18*Config!$B$2,0))</f>
        <v>0</v>
      </c>
    </row>
    <row r="19" customFormat="false" ht="64.5" hidden="false" customHeight="true" outlineLevel="0" collapsed="false">
      <c r="A19" s="23"/>
      <c r="B19" s="23" t="s">
        <v>103</v>
      </c>
      <c r="C19" s="24" t="n">
        <v>0</v>
      </c>
      <c r="D19" s="23" t="str">
        <f aca="false">IF(C19=0,"SIN STOCK",IF(AND(H19&gt;0,C19&lt;H19*Config!$B$3/100),"CRÍTICO",IF(AND(H19&gt;0,C19&lt;H19*0.5),"BAJO","OK")))</f>
        <v>SIN STOCK</v>
      </c>
      <c r="E19" s="23" t="s">
        <v>44</v>
      </c>
      <c r="F19" s="23" t="s">
        <v>94</v>
      </c>
      <c r="G19" s="23" t="s">
        <v>104</v>
      </c>
      <c r="I19" s="24" t="n">
        <v>3</v>
      </c>
      <c r="J19" s="24" t="n">
        <v>10</v>
      </c>
      <c r="K19" s="23" t="s">
        <v>95</v>
      </c>
      <c r="L19" s="23" t="n">
        <v>49900</v>
      </c>
      <c r="M19" s="23" t="n">
        <v>49900</v>
      </c>
      <c r="N19" s="25" t="n">
        <f aca="false">IF(J19="USD",L19,IF(J19="ARS",L19/Config!$B$2,0))</f>
        <v>0</v>
      </c>
      <c r="O19" s="26" t="n">
        <f aca="false">IF(J19="ARS",L19,IF(J19="USD",L19*Config!$B$2,0))</f>
        <v>0</v>
      </c>
    </row>
    <row r="20" customFormat="false" ht="64.5" hidden="false" customHeight="true" outlineLevel="0" collapsed="false">
      <c r="A20" s="23"/>
      <c r="B20" s="23" t="s">
        <v>105</v>
      </c>
      <c r="C20" s="24" t="n">
        <v>0</v>
      </c>
      <c r="D20" s="23" t="str">
        <f aca="false">IF(C20=0,"SIN STOCK",IF(AND(H20&gt;0,C20&lt;H20*Config!$B$3/100),"CRÍTICO",IF(AND(H20&gt;0,C20&lt;H20*0.5),"BAJO","OK")))</f>
        <v>SIN STOCK</v>
      </c>
      <c r="E20" s="23" t="s">
        <v>50</v>
      </c>
      <c r="F20" s="23" t="s">
        <v>106</v>
      </c>
      <c r="G20" s="27" t="s">
        <v>107</v>
      </c>
      <c r="I20" s="24" t="n">
        <v>30</v>
      </c>
      <c r="J20" s="24" t="n">
        <v>20</v>
      </c>
      <c r="K20" s="23" t="s">
        <v>95</v>
      </c>
      <c r="L20" s="23" t="n">
        <v>106177</v>
      </c>
      <c r="M20" s="23" t="n">
        <v>106177</v>
      </c>
      <c r="N20" s="25" t="n">
        <f aca="false">IF(J20="USD",L20,IF(J20="ARS",L20/Config!$B$2,0))</f>
        <v>0</v>
      </c>
      <c r="O20" s="26" t="n">
        <f aca="false">IF(J20="ARS",L20,IF(J20="USD",L20*Config!$B$2,0))</f>
        <v>0</v>
      </c>
    </row>
    <row r="21" customFormat="false" ht="64.5" hidden="false" customHeight="true" outlineLevel="0" collapsed="false">
      <c r="A21" s="23"/>
      <c r="B21" s="23" t="s">
        <v>108</v>
      </c>
      <c r="C21" s="24" t="n">
        <v>0</v>
      </c>
      <c r="D21" s="23" t="str">
        <f aca="false">IF(C21=0,"SIN STOCK",IF(AND(H21&gt;0,C21&lt;H21*Config!$B$3/100),"CRÍTICO",IF(AND(H21&gt;0,C21&lt;H21*0.5),"BAJO","OK")))</f>
        <v>SIN STOCK</v>
      </c>
      <c r="E21" s="23" t="s">
        <v>50</v>
      </c>
      <c r="F21" s="23" t="s">
        <v>106</v>
      </c>
      <c r="G21" s="27" t="s">
        <v>107</v>
      </c>
      <c r="I21" s="24"/>
      <c r="J21" s="24" t="n">
        <v>0</v>
      </c>
      <c r="K21" s="23" t="s">
        <v>95</v>
      </c>
      <c r="L21" s="23" t="n">
        <v>136125</v>
      </c>
      <c r="M21" s="23" t="n">
        <v>136125</v>
      </c>
      <c r="N21" s="25" t="n">
        <f aca="false">IF(J21="USD",L21,IF(J21="ARS",L21/Config!$B$2,0))</f>
        <v>0</v>
      </c>
      <c r="O21" s="26" t="n">
        <f aca="false">IF(J21="ARS",L21,IF(J21="USD",L21*Config!$B$2,0))</f>
        <v>0</v>
      </c>
    </row>
    <row r="22" customFormat="false" ht="64.5" hidden="false" customHeight="true" outlineLevel="0" collapsed="false">
      <c r="A22" s="23"/>
      <c r="B22" s="23" t="s">
        <v>109</v>
      </c>
      <c r="C22" s="24" t="n">
        <v>0</v>
      </c>
      <c r="D22" s="23" t="str">
        <f aca="false">IF(C22=0,"SIN STOCK",IF(AND(H22&gt;0,C22&lt;H22*Config!$B$3/100),"CRÍTICO",IF(AND(H22&gt;0,C22&lt;H22*0.5),"BAJO","OK")))</f>
        <v>SIN STOCK</v>
      </c>
      <c r="E22" s="23" t="s">
        <v>50</v>
      </c>
      <c r="F22" s="23" t="s">
        <v>110</v>
      </c>
      <c r="G22" s="27" t="s">
        <v>111</v>
      </c>
      <c r="I22" s="24"/>
      <c r="J22" s="24" t="n">
        <v>30</v>
      </c>
      <c r="K22" s="23" t="s">
        <v>95</v>
      </c>
      <c r="L22" s="23" t="n">
        <v>55211</v>
      </c>
      <c r="M22" s="23" t="n">
        <v>55211</v>
      </c>
      <c r="N22" s="25" t="n">
        <f aca="false">IF(J22="USD",L22,IF(J22="ARS",L22/Config!$B$2,0))</f>
        <v>0</v>
      </c>
      <c r="O22" s="26" t="n">
        <f aca="false">IF(J22="ARS",L22,IF(J22="USD",L22*Config!$B$2,0))</f>
        <v>0</v>
      </c>
    </row>
    <row r="23" customFormat="false" ht="64.5" hidden="false" customHeight="true" outlineLevel="0" collapsed="false">
      <c r="A23" s="23"/>
      <c r="B23" s="23" t="s">
        <v>112</v>
      </c>
      <c r="C23" s="24" t="n">
        <v>0</v>
      </c>
      <c r="D23" s="23" t="str">
        <f aca="false">IF(C23=0,"SIN STOCK",IF(AND(H23&gt;0,C23&lt;H23*Config!$B$3/100),"CRÍTICO",IF(AND(H23&gt;0,C23&lt;H23*0.5),"BAJO","OK")))</f>
        <v>SIN STOCK</v>
      </c>
      <c r="E23" s="23" t="s">
        <v>50</v>
      </c>
      <c r="F23" s="23" t="s">
        <v>110</v>
      </c>
      <c r="G23" s="27" t="s">
        <v>113</v>
      </c>
      <c r="I23" s="24"/>
      <c r="J23" s="24" t="n">
        <v>5</v>
      </c>
      <c r="K23" s="23" t="s">
        <v>95</v>
      </c>
      <c r="L23" s="23" t="n">
        <v>89250</v>
      </c>
      <c r="M23" s="23" t="n">
        <v>89250</v>
      </c>
      <c r="N23" s="25" t="n">
        <f aca="false">IF(J23="USD",L23,IF(J23="ARS",L23/Config!$B$2,0))</f>
        <v>0</v>
      </c>
      <c r="O23" s="26" t="n">
        <f aca="false">IF(J23="ARS",L23,IF(J23="USD",L23*Config!$B$2,0))</f>
        <v>0</v>
      </c>
    </row>
    <row r="24" customFormat="false" ht="64.5" hidden="false" customHeight="true" outlineLevel="0" collapsed="false">
      <c r="A24" s="23"/>
      <c r="B24" s="23" t="s">
        <v>114</v>
      </c>
      <c r="C24" s="24" t="n">
        <v>0</v>
      </c>
      <c r="D24" s="23" t="str">
        <f aca="false">IF(C24=0,"SIN STOCK",IF(AND(H24&gt;0,C24&lt;H24*Config!$B$3/100),"CRÍTICO",IF(AND(H24&gt;0,C24&lt;H24*0.5),"BAJO","OK")))</f>
        <v>SIN STOCK</v>
      </c>
      <c r="E24" s="23" t="s">
        <v>49</v>
      </c>
      <c r="F24" s="23" t="s">
        <v>115</v>
      </c>
      <c r="G24" s="23" t="s">
        <v>116</v>
      </c>
      <c r="I24" s="24"/>
      <c r="J24" s="24" t="n">
        <v>1</v>
      </c>
      <c r="K24" s="23" t="s">
        <v>95</v>
      </c>
      <c r="L24" s="23" t="n">
        <v>762000</v>
      </c>
      <c r="M24" s="23" t="n">
        <v>762000</v>
      </c>
      <c r="N24" s="25" t="n">
        <f aca="false">IF(J24="USD",L24,IF(J24="ARS",L24/Config!$B$2,0))</f>
        <v>0</v>
      </c>
      <c r="O24" s="26" t="n">
        <f aca="false">IF(J24="ARS",L24,IF(J24="USD",L24*Config!$B$2,0))</f>
        <v>0</v>
      </c>
    </row>
    <row r="25" customFormat="false" ht="64.5" hidden="false" customHeight="true" outlineLevel="0" collapsed="false">
      <c r="A25" s="23"/>
      <c r="B25" s="23" t="s">
        <v>117</v>
      </c>
      <c r="C25" s="24" t="n">
        <v>0</v>
      </c>
      <c r="D25" s="23" t="str">
        <f aca="false">IF(C25=0,"SIN STOCK",IF(AND(H25&gt;0,C25&lt;H25*Config!$B$3/100),"CRÍTICO",IF(AND(H25&gt;0,C25&lt;H25*0.5),"BAJO","OK")))</f>
        <v>SIN STOCK</v>
      </c>
      <c r="E25" s="23" t="s">
        <v>49</v>
      </c>
      <c r="F25" s="23" t="s">
        <v>115</v>
      </c>
      <c r="G25" s="27" t="s">
        <v>118</v>
      </c>
      <c r="I25" s="24"/>
      <c r="J25" s="24" t="n">
        <v>1</v>
      </c>
      <c r="K25" s="23" t="s">
        <v>95</v>
      </c>
      <c r="L25" s="23" t="n">
        <v>1457445</v>
      </c>
      <c r="M25" s="23" t="n">
        <v>1457445</v>
      </c>
      <c r="N25" s="25" t="n">
        <f aca="false">IF(J25="USD",L25,IF(J25="ARS",L25/Config!$B$2,0))</f>
        <v>0</v>
      </c>
      <c r="O25" s="26" t="n">
        <f aca="false">IF(J25="ARS",L25,IF(J25="USD",L25*Config!$B$2,0))</f>
        <v>0</v>
      </c>
    </row>
    <row r="26" customFormat="false" ht="64.5" hidden="false" customHeight="true" outlineLevel="0" collapsed="false">
      <c r="A26" s="23"/>
      <c r="B26" s="23" t="s">
        <v>119</v>
      </c>
      <c r="C26" s="24" t="n">
        <v>0</v>
      </c>
      <c r="D26" s="23" t="str">
        <f aca="false">IF(C26=0,"SIN STOCK",IF(AND(H26&gt;0,C26&lt;H26*Config!$B$3/100),"CRÍTICO",IF(AND(H26&gt;0,C26&lt;H26*0.5),"BAJO","OK")))</f>
        <v>SIN STOCK</v>
      </c>
      <c r="E26" s="23" t="s">
        <v>39</v>
      </c>
      <c r="F26" s="23" t="s">
        <v>67</v>
      </c>
      <c r="G26" s="23" t="s">
        <v>120</v>
      </c>
      <c r="I26" s="24" t="n">
        <v>2</v>
      </c>
      <c r="J26" s="24" t="n">
        <v>2</v>
      </c>
      <c r="K26" s="23" t="s">
        <v>95</v>
      </c>
      <c r="L26" s="23" t="n">
        <v>491718.6</v>
      </c>
      <c r="M26" s="23" t="n">
        <v>491718.6</v>
      </c>
      <c r="N26" s="25" t="n">
        <f aca="false">IF(J26="USD",L26,IF(J26="ARS",L26/Config!$B$2,0))</f>
        <v>0</v>
      </c>
      <c r="O26" s="26" t="n">
        <f aca="false">IF(J26="ARS",L26,IF(J26="USD",L26*Config!$B$2,0))</f>
        <v>0</v>
      </c>
    </row>
    <row r="27" customFormat="false" ht="64.5" hidden="false" customHeight="true" outlineLevel="0" collapsed="false">
      <c r="A27" s="23"/>
      <c r="B27" s="23" t="s">
        <v>121</v>
      </c>
      <c r="C27" s="24" t="n">
        <v>0</v>
      </c>
      <c r="D27" s="23" t="str">
        <f aca="false">IF(C27=0,"SIN STOCK",IF(AND(H27&gt;0,C27&lt;H27*Config!$B$3/100),"CRÍTICO",IF(AND(H27&gt;0,C27&lt;H27*0.5),"BAJO","OK")))</f>
        <v>SIN STOCK</v>
      </c>
      <c r="E27" s="23" t="s">
        <v>39</v>
      </c>
      <c r="F27" s="23" t="s">
        <v>67</v>
      </c>
      <c r="G27" s="23" t="s">
        <v>120</v>
      </c>
      <c r="I27" s="24" t="n">
        <v>4</v>
      </c>
      <c r="J27" s="24" t="n">
        <v>2</v>
      </c>
      <c r="K27" s="23" t="s">
        <v>95</v>
      </c>
      <c r="L27" s="23" t="n">
        <v>1074496.2</v>
      </c>
      <c r="M27" s="23" t="n">
        <v>1074496.2</v>
      </c>
      <c r="N27" s="25" t="n">
        <f aca="false">IF(J27="USD",L27,IF(J27="ARS",L27/Config!$B$2,0))</f>
        <v>0</v>
      </c>
      <c r="O27" s="26" t="n">
        <f aca="false">IF(J27="ARS",L27,IF(J27="USD",L27*Config!$B$2,0))</f>
        <v>0</v>
      </c>
    </row>
    <row r="28" customFormat="false" ht="64.5" hidden="false" customHeight="true" outlineLevel="0" collapsed="false">
      <c r="A28" s="23"/>
      <c r="B28" s="23" t="s">
        <v>122</v>
      </c>
      <c r="C28" s="24" t="n">
        <v>0</v>
      </c>
      <c r="D28" s="23" t="str">
        <f aca="false">IF(C28=0,"SIN STOCK",IF(AND(H28&gt;0,C28&lt;H28*Config!$B$3/100),"CRÍTICO",IF(AND(H28&gt;0,C28&lt;H28*0.5),"BAJO","OK")))</f>
        <v>SIN STOCK</v>
      </c>
      <c r="E28" s="23" t="s">
        <v>39</v>
      </c>
      <c r="F28" s="23" t="s">
        <v>67</v>
      </c>
      <c r="G28" s="23" t="s">
        <v>120</v>
      </c>
      <c r="I28" s="24"/>
      <c r="J28" s="24" t="n">
        <v>4</v>
      </c>
      <c r="K28" s="23"/>
      <c r="L28" s="23"/>
      <c r="M28" s="23" t="n">
        <v>0</v>
      </c>
      <c r="N28" s="25" t="n">
        <f aca="false">IF(J28="USD",L28,IF(J28="ARS",L28/Config!$B$2,0))</f>
        <v>0</v>
      </c>
      <c r="O28" s="26" t="n">
        <f aca="false">IF(J28="ARS",L28,IF(J28="USD",L28*Config!$B$2,0))</f>
        <v>0</v>
      </c>
    </row>
    <row r="29" customFormat="false" ht="64.5" hidden="false" customHeight="true" outlineLevel="0" collapsed="false">
      <c r="A29" s="23"/>
      <c r="B29" s="23" t="s">
        <v>123</v>
      </c>
      <c r="C29" s="24" t="n">
        <v>0</v>
      </c>
      <c r="D29" s="23" t="str">
        <f aca="false">IF(C29=0,"SIN STOCK",IF(AND(H29&gt;0,C29&lt;H29*Config!$B$3/100),"CRÍTICO",IF(AND(H29&gt;0,C29&lt;H29*0.5),"BAJO","OK")))</f>
        <v>SIN STOCK</v>
      </c>
      <c r="E29" s="23" t="s">
        <v>47</v>
      </c>
      <c r="F29" s="23" t="s">
        <v>106</v>
      </c>
      <c r="G29" s="27" t="s">
        <v>107</v>
      </c>
      <c r="I29" s="24" t="n">
        <v>10</v>
      </c>
      <c r="J29" s="24" t="n">
        <v>20</v>
      </c>
      <c r="K29" s="23" t="s">
        <v>95</v>
      </c>
      <c r="L29" s="23" t="n">
        <v>280000</v>
      </c>
      <c r="M29" s="23" t="n">
        <v>280000</v>
      </c>
      <c r="N29" s="25" t="n">
        <f aca="false">IF(J29="USD",L29,IF(J29="ARS",L29/Config!$B$2,0))</f>
        <v>0</v>
      </c>
      <c r="O29" s="26" t="n">
        <f aca="false">IF(J29="ARS",L29,IF(J29="USD",L29*Config!$B$2,0))</f>
        <v>0</v>
      </c>
    </row>
    <row r="30" customFormat="false" ht="64.5" hidden="false" customHeight="true" outlineLevel="0" collapsed="false">
      <c r="A30" s="23"/>
      <c r="B30" s="23" t="s">
        <v>124</v>
      </c>
      <c r="C30" s="24" t="n">
        <v>0</v>
      </c>
      <c r="D30" s="23" t="str">
        <f aca="false">IF(C30=0,"SIN STOCK",IF(AND(H30&gt;0,C30&lt;H30*Config!$B$3/100),"CRÍTICO",IF(AND(H30&gt;0,C30&lt;H30*0.5),"BAJO","OK")))</f>
        <v>SIN STOCK</v>
      </c>
      <c r="E30" s="23" t="s">
        <v>46</v>
      </c>
      <c r="F30" s="23" t="s">
        <v>106</v>
      </c>
      <c r="G30" s="27" t="s">
        <v>107</v>
      </c>
      <c r="I30" s="24" t="n">
        <v>10</v>
      </c>
      <c r="J30" s="24" t="n">
        <v>20</v>
      </c>
      <c r="K30" s="23" t="s">
        <v>95</v>
      </c>
      <c r="L30" s="23" t="n">
        <v>277000</v>
      </c>
      <c r="M30" s="23" t="n">
        <v>277000</v>
      </c>
      <c r="N30" s="25" t="n">
        <f aca="false">IF(J30="USD",L30,IF(J30="ARS",L30/Config!$B$2,0))</f>
        <v>0</v>
      </c>
      <c r="O30" s="26" t="n">
        <f aca="false">IF(J30="ARS",L30,IF(J30="USD",L30*Config!$B$2,0))</f>
        <v>0</v>
      </c>
    </row>
  </sheetData>
  <mergeCells count="1">
    <mergeCell ref="A1:N1"/>
  </mergeCells>
  <conditionalFormatting sqref="D3:D30">
    <cfRule type="cellIs" priority="2" operator="equal" aboveAverage="0" equalAverage="0" bottom="0" percent="0" rank="0" text="" dxfId="0">
      <formula>"SIN STOCK"</formula>
    </cfRule>
    <cfRule type="cellIs" priority="3" operator="equal" aboveAverage="0" equalAverage="0" bottom="0" percent="0" rank="0" text="" dxfId="1">
      <formula>"CRÍTICO"</formula>
    </cfRule>
    <cfRule type="cellIs" priority="4" operator="equal" aboveAverage="0" equalAverage="0" bottom="0" percent="0" rank="0" text="" dxfId="2">
      <formula>"BAJO"</formula>
    </cfRule>
    <cfRule type="cellIs" priority="5" operator="equal" aboveAverage="0" equalAverage="0" bottom="0" percent="0" rank="0" text="" dxfId="3">
      <formula>"OK"</formula>
    </cfRule>
  </conditionalFormatting>
  <hyperlinks>
    <hyperlink ref="G20" r:id="rId1" display="https://conmil.com.ar/es/store/"/>
    <hyperlink ref="G21" r:id="rId2" display="https://conmil.com.ar/es/store/"/>
    <hyperlink ref="G22" r:id="rId3" location="is_advertising=true&amp;searchVariation=MLAU383417813&amp;backend_model=search-backend&amp;position=5&amp;search_layout=grid&amp;type=pad&amp;tracking_id=0460d4a6-80bc-4ec8-b49a-a1b56ff8d01b&amp;ad_domain=VQCATCORE_LST&amp;ad_position=5&amp;ad_click_id=ODM4ODMyN2ItNmQ2My00MmM1LWI4NzItZmFlMD" display="https://www.mercadolibre.com.ar/brazal-universal-para-tensiometro-digital-microlife-2242-cm/up/MLAU383417813?pdp_filters=item_id:MLA1803242736#is_advertising=true&amp;searchVariation=MLAU383417813&amp;backend_model=search-backend&amp;position=5&amp;search_layout=grid&amp;type=pad&amp;tracking_id=0460d4a6-80bc-4ec8-b49a-a1b56ff8d01b&amp;ad_domain=VQCATCORE_LST&amp;ad_position=5&amp;ad_click_id=ODM4ODMyN2ItNmQ2My00MmM1LWI4NzItZmFlMDY5YzYyZGM3"/>
    <hyperlink ref="G23" r:id="rId4" location="polycard_client=search-desktop&amp;search_layout=grid&amp;position=3&amp;type=product&amp;tracking_id=3d0ed5ab-56be-47de-a74f-90d6ce9b7aa9&amp;wid=MLA915164043&amp;sid=search" display="https://www.mercadolibre.com.ar/brazal-mango-obeso-32-a-52-cm-tensiometro-digital-microlife/up/MLAU307445902#polycard_client=search-desktop&amp;search_layout=grid&amp;position=3&amp;type=product&amp;tracking_id=3d0ed5ab-56be-47de-a74f-90d6ce9b7aa9&amp;wid=MLA915164043&amp;sid=search"/>
    <hyperlink ref="G25" r:id="rId5" display="https://conmil.com.ar/es/producto/cable-paciente-ecg---clip"/>
    <hyperlink ref="G29" r:id="rId6" display="https://conmil.com.ar/es/store/"/>
    <hyperlink ref="G30" r:id="rId7" display="https://conmil.com.ar/es/stor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34"/>
    <col collapsed="false" customWidth="true" hidden="false" outlineLevel="0" max="4" min="4" style="1" width="10"/>
    <col collapsed="false" customWidth="true" hidden="false" outlineLevel="0" max="5" min="5" style="1" width="7"/>
    <col collapsed="false" customWidth="true" hidden="false" outlineLevel="0" max="6" min="6" style="1" width="24"/>
    <col collapsed="false" customWidth="true" hidden="false" outlineLevel="0" max="7" min="7" style="1" width="18"/>
    <col collapsed="false" customWidth="true" hidden="false" outlineLevel="0" max="8" min="8" style="1" width="22"/>
    <col collapsed="false" customWidth="true" hidden="false" outlineLevel="0" max="10" min="9" style="1" width="14"/>
    <col collapsed="false" customWidth="true" hidden="false" outlineLevel="0" max="11" min="11" style="1" width="26"/>
  </cols>
  <sheetData>
    <row r="1" customFormat="false" ht="17.25" hidden="false" customHeight="true" outlineLevel="0" collapsed="false">
      <c r="A1" s="11" t="s">
        <v>125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15" hidden="false" customHeight="true" outlineLevel="0" collapsed="false">
      <c r="A2" s="12" t="s">
        <v>126</v>
      </c>
      <c r="B2" s="12" t="s">
        <v>127</v>
      </c>
      <c r="C2" s="12" t="s">
        <v>53</v>
      </c>
      <c r="D2" s="12" t="s">
        <v>128</v>
      </c>
      <c r="E2" s="12" t="s">
        <v>129</v>
      </c>
      <c r="F2" s="12" t="s">
        <v>22</v>
      </c>
      <c r="G2" s="12" t="s">
        <v>130</v>
      </c>
      <c r="H2" s="12" t="s">
        <v>131</v>
      </c>
      <c r="I2" s="12" t="s">
        <v>132</v>
      </c>
      <c r="J2" s="12" t="s">
        <v>133</v>
      </c>
      <c r="K2" s="12" t="s">
        <v>134</v>
      </c>
    </row>
    <row r="3" customFormat="false" ht="15" hidden="false" customHeight="true" outlineLevel="0" collapsed="false"/>
    <row r="4" customFormat="false" ht="15" hidden="false" customHeight="true" outlineLevel="0" collapsed="false"/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</sheetData>
  <mergeCells count="1">
    <mergeCell ref="A1:K1"/>
  </mergeCells>
  <conditionalFormatting sqref="B3:B1000">
    <cfRule type="cellIs" priority="2" operator="equal" aboveAverage="0" equalAverage="0" bottom="0" percent="0" rank="0" text="" dxfId="4">
      <formula>"IN"</formula>
    </cfRule>
    <cfRule type="cellIs" priority="3" operator="equal" aboveAverage="0" equalAverage="0" bottom="0" percent="0" rank="0" text="" dxfId="5">
      <formula>"OUT"</formula>
    </cfRule>
  </conditionalFormatting>
  <dataValidations count="3">
    <dataValidation allowBlank="true" errorStyle="stop" operator="between" showDropDown="false" showErrorMessage="false" showInputMessage="false" sqref="B3:B1000" type="list">
      <formula1>"IN,OUT"</formula1>
      <formula2>0</formula2>
    </dataValidation>
    <dataValidation allowBlank="true" errorStyle="stop" operator="between" showDropDown="false" showErrorMessage="false" showInputMessage="false" sqref="F3:F1000" type="list">
      <formula1>Config!$D$3:$D$30</formula1>
      <formula2>0</formula2>
    </dataValidation>
    <dataValidation allowBlank="true" errorStyle="stop" operator="between" showDropDown="false" showErrorMessage="false" showInputMessage="false" sqref="C3:C1000" type="list">
      <formula1>Stock!$B$3:$B$30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4" min="3" style="1" width="11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8" min="8" style="1" width="14"/>
    <col collapsed="false" customWidth="true" hidden="false" outlineLevel="0" max="10" min="9" style="1" width="16"/>
  </cols>
  <sheetData>
    <row r="1" customFormat="false" ht="17.25" hidden="false" customHeight="true" outlineLevel="0" collapsed="false">
      <c r="A1" s="11" t="s">
        <v>135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5" hidden="false" customHeight="true" outlineLevel="0" collapsed="false">
      <c r="A2" s="6" t="s">
        <v>136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27.75" hidden="false" customHeight="true" outlineLevel="0" collapsed="false"/>
    <row r="4" customFormat="false" ht="60" hidden="false" customHeight="true" outlineLevel="0" collapsed="false"/>
    <row r="5" customFormat="false" ht="60" hidden="false" customHeight="true" outlineLevel="0" collapsed="false"/>
    <row r="6" customFormat="false" ht="60" hidden="false" customHeight="true" outlineLevel="0" collapsed="false"/>
    <row r="7" customFormat="false" ht="60" hidden="false" customHeight="true" outlineLevel="0" collapsed="false"/>
    <row r="8" customFormat="false" ht="60" hidden="false" customHeight="true" outlineLevel="0" collapsed="false"/>
    <row r="9" customFormat="false" ht="60" hidden="false" customHeight="true" outlineLevel="0" collapsed="false"/>
    <row r="10" customFormat="false" ht="60" hidden="false" customHeight="true" outlineLevel="0" collapsed="false"/>
    <row r="11" customFormat="false" ht="60" hidden="false" customHeight="true" outlineLevel="0" collapsed="false"/>
    <row r="12" customFormat="false" ht="60" hidden="false" customHeight="true" outlineLevel="0" collapsed="false"/>
    <row r="13" customFormat="false" ht="60" hidden="false" customHeight="true" outlineLevel="0" collapsed="false"/>
    <row r="14" customFormat="false" ht="60" hidden="false" customHeight="true" outlineLevel="0" collapsed="false"/>
    <row r="15" customFormat="false" ht="60" hidden="false" customHeight="true" outlineLevel="0" collapsed="false"/>
    <row r="16" customFormat="false" ht="60" hidden="false" customHeight="true" outlineLevel="0" collapsed="false"/>
    <row r="17" customFormat="false" ht="60" hidden="false" customHeight="true" outlineLevel="0" collapsed="false"/>
    <row r="18" customFormat="false" ht="60" hidden="false" customHeight="true" outlineLevel="0" collapsed="false"/>
    <row r="19" customFormat="false" ht="60" hidden="false" customHeight="true" outlineLevel="0" collapsed="false"/>
    <row r="20" customFormat="false" ht="60" hidden="false" customHeight="true" outlineLevel="0" collapsed="false"/>
    <row r="21" customFormat="false" ht="60" hidden="false" customHeight="true" outlineLevel="0" collapsed="false"/>
    <row r="22" customFormat="false" ht="60" hidden="false" customHeight="true" outlineLevel="0" collapsed="false"/>
    <row r="23" customFormat="false" ht="60" hidden="false" customHeight="true" outlineLevel="0" collapsed="false"/>
    <row r="24" customFormat="false" ht="60" hidden="false" customHeight="true" outlineLevel="0" collapsed="false"/>
    <row r="25" customFormat="false" ht="60" hidden="false" customHeight="true" outlineLevel="0" collapsed="false"/>
    <row r="26" customFormat="false" ht="60" hidden="false" customHeight="true" outlineLevel="0" collapsed="false"/>
    <row r="27" customFormat="false" ht="60" hidden="false" customHeight="true" outlineLevel="0" collapsed="false"/>
    <row r="28" customFormat="false" ht="60" hidden="false" customHeight="true" outlineLevel="0" collapsed="false"/>
    <row r="29" customFormat="false" ht="60" hidden="false" customHeight="true" outlineLevel="0" collapsed="false"/>
    <row r="30" customFormat="false" ht="60" hidden="false" customHeight="true" outlineLevel="0" collapsed="false"/>
    <row r="31" customFormat="false" ht="60" hidden="false" customHeight="true" outlineLevel="0" collapsed="false"/>
    <row r="32" customFormat="false" ht="15" hidden="false" customHeight="true" outlineLevel="0" collapsed="false">
      <c r="A32" s="28"/>
      <c r="B32" s="28"/>
      <c r="C32" s="28"/>
      <c r="D32" s="28"/>
      <c r="E32" s="28"/>
      <c r="F32" s="28"/>
      <c r="G32" s="28"/>
      <c r="H32" s="28"/>
    </row>
  </sheetData>
  <mergeCells count="3">
    <mergeCell ref="A1:J1"/>
    <mergeCell ref="A2:J2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4"/>
    <col collapsed="false" customWidth="true" hidden="false" outlineLevel="0" max="4" min="4" style="1" width="36"/>
    <col collapsed="false" customWidth="true" hidden="false" outlineLevel="0" max="6" min="6" style="1" width="20"/>
  </cols>
  <sheetData>
    <row r="1" customFormat="false" ht="17.25" hidden="false" customHeight="true" outlineLevel="0" collapsed="false">
      <c r="A1" s="11" t="s">
        <v>137</v>
      </c>
      <c r="B1" s="11"/>
      <c r="C1" s="11"/>
      <c r="D1" s="11"/>
    </row>
    <row r="2" customFormat="false" ht="17.25" hidden="false" customHeight="true" outlineLevel="0" collapsed="false">
      <c r="A2" s="29" t="s">
        <v>138</v>
      </c>
      <c r="B2" s="30" t="n">
        <v>1200</v>
      </c>
      <c r="D2" s="22" t="s">
        <v>139</v>
      </c>
    </row>
    <row r="3" customFormat="false" ht="17.25" hidden="false" customHeight="true" outlineLevel="0" collapsed="false">
      <c r="A3" s="29" t="s">
        <v>140</v>
      </c>
      <c r="B3" s="30" t="n">
        <v>20</v>
      </c>
      <c r="D3" s="23" t="s">
        <v>26</v>
      </c>
      <c r="F3" s="6" t="s">
        <v>141</v>
      </c>
      <c r="G3" s="6"/>
      <c r="H3" s="6"/>
      <c r="I3" s="6"/>
      <c r="J3" s="6"/>
      <c r="K3" s="6"/>
    </row>
    <row r="4" customFormat="false" ht="15" hidden="false" customHeight="true" outlineLevel="0" collapsed="false">
      <c r="D4" s="23" t="s">
        <v>27</v>
      </c>
      <c r="F4" s="6"/>
      <c r="G4" s="6"/>
      <c r="H4" s="6"/>
      <c r="I4" s="6"/>
      <c r="J4" s="6"/>
      <c r="K4" s="6"/>
    </row>
    <row r="5" customFormat="false" ht="15" hidden="false" customHeight="true" outlineLevel="0" collapsed="false">
      <c r="A5" s="31" t="s">
        <v>142</v>
      </c>
      <c r="B5" s="31"/>
      <c r="C5" s="31"/>
      <c r="D5" s="23" t="s">
        <v>28</v>
      </c>
    </row>
    <row r="6" customFormat="false" ht="15" hidden="false" customHeight="true" outlineLevel="0" collapsed="false">
      <c r="D6" s="23" t="s">
        <v>29</v>
      </c>
    </row>
    <row r="7" customFormat="false" ht="15" hidden="false" customHeight="true" outlineLevel="0" collapsed="false">
      <c r="D7" s="23" t="s">
        <v>30</v>
      </c>
    </row>
    <row r="8" customFormat="false" ht="15" hidden="false" customHeight="true" outlineLevel="0" collapsed="false">
      <c r="D8" s="23" t="s">
        <v>31</v>
      </c>
    </row>
  </sheetData>
  <mergeCells count="3">
    <mergeCell ref="A1:D1"/>
    <mergeCell ref="F3:K4"/>
    <mergeCell ref="A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2026-04-17T18:21:25Z</dcterms:created>
  <dc:creator>openpyxl</dc:creator>
  <dc:description/>
  <dc:language>en-US</dc:language>
  <cp:lastModifiedBy/>
  <dcterms:modified xsi:type="dcterms:W3CDTF">2026-04-23T14:09:40Z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