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ioingenieria\Documents\Claude\Projects\STOCK DE INSUMOS\"/>
    </mc:Choice>
  </mc:AlternateContent>
  <xr:revisionPtr revIDLastSave="0" documentId="8_{2F894E59-4169-4BE8-93B7-7C1CD9CCCB73}" xr6:coauthVersionLast="47" xr6:coauthVersionMax="47" xr10:uidLastSave="{00000000-0000-0000-0000-000000000000}"/>
  <bookViews>
    <workbookView xWindow="-28920" yWindow="-120" windowWidth="29040" windowHeight="15840" xr2:uid="{37AD6163-C821-436C-BDE4-249A0A43CF6E}"/>
  </bookViews>
  <sheets>
    <sheet name="Hoja1" sheetId="1" r:id="rId1"/>
  </sheets>
  <calcPr calcId="191029" iterate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E40" i="1" l="1"/>
  <c r="G39" i="1"/>
  <c r="G38" i="1"/>
  <c r="G37" i="1"/>
  <c r="G36" i="1"/>
  <c r="G35" i="1"/>
  <c r="G34" i="1"/>
  <c r="G33" i="1"/>
  <c r="G32" i="1"/>
  <c r="G31" i="1"/>
  <c r="G30" i="1"/>
  <c r="G29" i="1"/>
  <c r="G28" i="1"/>
  <c r="G27" i="1"/>
  <c r="G26" i="1"/>
  <c r="G25" i="1"/>
  <c r="G24" i="1"/>
  <c r="G23" i="1"/>
  <c r="G22" i="1"/>
  <c r="G21" i="1"/>
  <c r="G20" i="1"/>
  <c r="G19" i="1"/>
  <c r="G18" i="1"/>
  <c r="G17" i="1"/>
  <c r="G16" i="1"/>
  <c r="G15" i="1"/>
  <c r="G14" i="1"/>
  <c r="G13" i="1"/>
  <c r="G12" i="1"/>
  <c r="G11" i="1"/>
  <c r="G10" i="1"/>
  <c r="G9" i="1"/>
  <c r="G8" i="1"/>
  <c r="G7" i="1"/>
  <c r="G6" i="1"/>
  <c r="G5" i="1"/>
  <c r="G4" i="1"/>
  <c r="G3" i="1"/>
  <c r="G40" i="1" s="1"/>
</calcChain>
</file>

<file path=xl/sharedStrings.xml><?xml version="1.0" encoding="utf-8"?>
<sst xmlns="http://schemas.openxmlformats.org/spreadsheetml/2006/main" count="88" uniqueCount="57">
  <si>
    <t xml:space="preserve">SOLICITUD DE COMPRA </t>
  </si>
  <si>
    <t>PRECIO</t>
  </si>
  <si>
    <t>ITEM</t>
  </si>
  <si>
    <t>EQUIPO MÉDICO</t>
  </si>
  <si>
    <t>MARCA</t>
  </si>
  <si>
    <t>REFERENCIA</t>
  </si>
  <si>
    <t>SOLICITUD COMPRA</t>
  </si>
  <si>
    <t>VALOR UNITARIO PESOS ESTIMADO</t>
  </si>
  <si>
    <t>TOTAL EN PESOS</t>
  </si>
  <si>
    <t>Baterias 12V 17Ah</t>
  </si>
  <si>
    <t>CAMAS TRYKER INTOUCH</t>
  </si>
  <si>
    <t>NP18-12B</t>
  </si>
  <si>
    <t>Baterias 1,2V 1500MaH</t>
  </si>
  <si>
    <t>ECG SUZUKEN CARDICO 306</t>
  </si>
  <si>
    <t>https://www.mercadolibre.com.ar/celda-pila-tipo-industrial-aa-nimh-1500mah-12v-terminales/up/MLAU3344270382#polycard_client=search-desktop&amp;search_layout=grid&amp;position=28&amp;type=product&amp;tracking_id=42fc4304-be9b-419c-89d4-318529bd6cf0&amp;wid=MLA2213553610&amp;sid=search</t>
  </si>
  <si>
    <t>Baterias 12V 7ah</t>
  </si>
  <si>
    <t>UPS</t>
  </si>
  <si>
    <t>Pila CR2032</t>
  </si>
  <si>
    <t xml:space="preserve">Ficha banana macho negro </t>
  </si>
  <si>
    <t>ELECTRONICA</t>
  </si>
  <si>
    <t>Ficha banana macho rojo</t>
  </si>
  <si>
    <t>Ficha cocodrilo negro</t>
  </si>
  <si>
    <t>Ficha cocodrilo rojo</t>
  </si>
  <si>
    <t>Cable ficha banana a banana juego x2</t>
  </si>
  <si>
    <t>Cable ficha banana a cocodrilo juego x2</t>
  </si>
  <si>
    <t>cable de parlante (rojo negro) en metros</t>
  </si>
  <si>
    <t>Fusibles 500 mA x 20mm x 10 unidades</t>
  </si>
  <si>
    <t>Fusibles 1A x 20 mm x 10 unidades</t>
  </si>
  <si>
    <t>Fusibles 2A x 20mm x 10 unidades</t>
  </si>
  <si>
    <t>Fusibles 3A x 20mm x 10 unidades</t>
  </si>
  <si>
    <t>Fusibles 4A x 20mm x 10 unidades</t>
  </si>
  <si>
    <t>Fusibles 5A x 20mm x 10 unidades</t>
  </si>
  <si>
    <t>Fusibles 7A x 20mm x 10 unidades</t>
  </si>
  <si>
    <t>Fusibles 10A x 20mm x 10 unidades</t>
  </si>
  <si>
    <t>Fusibles 500 mA x 30mm x 10 unidades</t>
  </si>
  <si>
    <t>Fusibles 1A x 30 mm x10 unidades</t>
  </si>
  <si>
    <t>Fusibles 2A x 30mm x 10 unidades</t>
  </si>
  <si>
    <t>Fusibles 3A x 30mm x 10 unidades</t>
  </si>
  <si>
    <t>Fusibles 4A x 30mm x 10 unidades</t>
  </si>
  <si>
    <t>Fusibles 5A x 30mm x 10 unidades</t>
  </si>
  <si>
    <t>Fusibles 7A x 30mm x 10 unidades</t>
  </si>
  <si>
    <t>Fusibles 10A x 30mm x 10 unidades</t>
  </si>
  <si>
    <t>Fusible RT16NT00C 500v 120KA gl 16a</t>
  </si>
  <si>
    <t>TABLEROS DE EQUIPOS</t>
  </si>
  <si>
    <t>Fusible NT00C 500v 120KA Gl 20A</t>
  </si>
  <si>
    <t>Fusible NT00C 500v 120KA Gl-GL 50A</t>
  </si>
  <si>
    <t>Estaño en rollo x 0,5mm</t>
  </si>
  <si>
    <t>Estaño en pasta</t>
  </si>
  <si>
    <t>Estaño En Pasta Sin Plomo 138°c Baja Temperatura Best 706 | Envío gratis</t>
  </si>
  <si>
    <t>Malla para desoldar con flux 3mm x 1,5mts</t>
  </si>
  <si>
    <t>Juego de mechas de acero rapido de 1mm a 10mm</t>
  </si>
  <si>
    <t>Juego Set 100 Puntas 1/4'' Bahco Plano Ph Pz Torx Hex Caja</t>
  </si>
  <si>
    <t>Juego Set 100 Puntas 1/4'' Bahco Plano Ph Pz Torx Hex Caja | Envío gratis</t>
  </si>
  <si>
    <t>Alcohol isopropilico x 5 litros</t>
  </si>
  <si>
    <t>Aceite lubricante para piezas de mano odontologica aerosol x250ml</t>
  </si>
  <si>
    <t>Aceite Lubricante Para Turbina Odontologia Gacela 250ml | Envío gratis</t>
  </si>
  <si>
    <t>Entregado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</si>
</sst>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$&quot;\ * #,##0.00_-;\-&quot;$&quot;\ * #,##0.00_-;_-&quot;$&quot;\ * &quot;-&quot;??_-;_-@_-"/>
  </numFmts>
  <fonts count="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b/>
      <sz val="13"/>
      <color rgb="FFFFFFFF"/>
      <name val="Arial"/>
      <family val="2"/>
    </font>
    <font>
      <b/>
      <sz val="10"/>
      <color rgb="FFFFFFFF"/>
      <name val="Arial"/>
      <family val="2"/>
    </font>
    <font>
      <sz val="9"/>
      <name val="Arial"/>
      <family val="2"/>
    </font>
    <font>
      <b/>
      <sz val="11"/>
      <name val="Arial"/>
      <family val="2"/>
    </font>
    <font>
      <sz val="16"/>
      <color theme="1"/>
      <name val="Aptos Narrow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DDEBF7"/>
      </patternFill>
    </fill>
    <fill>
      <patternFill patternType="solid">
        <fgColor rgb="FFFFFFFF"/>
      </patternFill>
    </fill>
    <fill>
      <patternFill patternType="solid">
        <fgColor rgb="FFBDD7EE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BFBFBF"/>
      </left>
      <right style="thin">
        <color rgb="FFBFBFBF"/>
      </right>
      <top/>
      <bottom style="thin">
        <color rgb="FFBFBFBF"/>
      </bottom>
      <diagonal/>
    </border>
    <border>
      <left style="thin">
        <color rgb="FFBFBFBF"/>
      </left>
      <right/>
      <top/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/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/>
      <diagonal/>
    </border>
    <border>
      <left style="thin">
        <color rgb="FFBFBFBF"/>
      </left>
      <right/>
      <top style="thin">
        <color rgb="FFBFBFBF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0" fontId="2" fillId="0" borderId="0" applyNumberFormat="0" applyFill="0" applyBorder="0" applyAlignment="0" applyProtection="0"/>
  </cellStyleXfs>
  <cellXfs count="55">
    <xf numFmtId="0" fontId="0" fillId="0" borderId="0" xfId="0"/>
    <xf numFmtId="0" fontId="4" fillId="2" borderId="4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vertical="center" wrapText="1"/>
    </xf>
    <xf numFmtId="44" fontId="5" fillId="3" borderId="4" xfId="1" applyFont="1" applyFill="1" applyBorder="1" applyAlignment="1">
      <alignment horizontal="center" vertical="center"/>
    </xf>
    <xf numFmtId="44" fontId="0" fillId="0" borderId="4" xfId="1" applyFont="1" applyBorder="1"/>
    <xf numFmtId="0" fontId="5" fillId="3" borderId="7" xfId="0" applyFont="1" applyFill="1" applyBorder="1" applyAlignment="1">
      <alignment vertical="center" wrapText="1"/>
    </xf>
    <xf numFmtId="0" fontId="5" fillId="3" borderId="7" xfId="0" applyFont="1" applyFill="1" applyBorder="1" applyAlignment="1">
      <alignment vertical="center"/>
    </xf>
    <xf numFmtId="0" fontId="5" fillId="3" borderId="8" xfId="0" applyFont="1" applyFill="1" applyBorder="1" applyAlignment="1">
      <alignment horizontal="center" vertical="center"/>
    </xf>
    <xf numFmtId="0" fontId="5" fillId="4" borderId="7" xfId="0" applyFont="1" applyFill="1" applyBorder="1" applyAlignment="1">
      <alignment vertical="center" wrapText="1"/>
    </xf>
    <xf numFmtId="0" fontId="5" fillId="4" borderId="7" xfId="0" applyFont="1" applyFill="1" applyBorder="1" applyAlignment="1">
      <alignment vertical="center"/>
    </xf>
    <xf numFmtId="1" fontId="5" fillId="4" borderId="7" xfId="0" applyNumberFormat="1" applyFont="1" applyFill="1" applyBorder="1" applyAlignment="1">
      <alignment horizontal="center" vertical="center"/>
    </xf>
    <xf numFmtId="0" fontId="5" fillId="4" borderId="8" xfId="0" applyFont="1" applyFill="1" applyBorder="1" applyAlignment="1">
      <alignment horizontal="center" vertical="center"/>
    </xf>
    <xf numFmtId="44" fontId="5" fillId="4" borderId="4" xfId="1" applyFont="1" applyFill="1" applyBorder="1" applyAlignment="1">
      <alignment horizontal="center" vertical="center"/>
    </xf>
    <xf numFmtId="1" fontId="5" fillId="3" borderId="7" xfId="0" applyNumberFormat="1" applyFont="1" applyFill="1" applyBorder="1" applyAlignment="1">
      <alignment horizontal="center" vertical="center"/>
    </xf>
    <xf numFmtId="0" fontId="5" fillId="3" borderId="7" xfId="0" applyFont="1" applyFill="1" applyBorder="1" applyAlignment="1">
      <alignment horizontal="center" vertical="center"/>
    </xf>
    <xf numFmtId="0" fontId="5" fillId="3" borderId="9" xfId="0" applyFont="1" applyFill="1" applyBorder="1" applyAlignment="1">
      <alignment vertical="center" wrapText="1"/>
    </xf>
    <xf numFmtId="0" fontId="5" fillId="4" borderId="9" xfId="0" applyFont="1" applyFill="1" applyBorder="1" applyAlignment="1">
      <alignment vertical="center"/>
    </xf>
    <xf numFmtId="0" fontId="5" fillId="4" borderId="9" xfId="0" applyFont="1" applyFill="1" applyBorder="1" applyAlignment="1">
      <alignment horizontal="center" vertical="center"/>
    </xf>
    <xf numFmtId="0" fontId="5" fillId="3" borderId="10" xfId="0" applyFont="1" applyFill="1" applyBorder="1" applyAlignment="1">
      <alignment horizontal="center" vertical="center"/>
    </xf>
    <xf numFmtId="44" fontId="0" fillId="0" borderId="11" xfId="1" applyFont="1" applyBorder="1"/>
    <xf numFmtId="0" fontId="5" fillId="3" borderId="4" xfId="0" applyFont="1" applyFill="1" applyBorder="1" applyAlignment="1">
      <alignment vertical="center" wrapText="1"/>
    </xf>
    <xf numFmtId="0" fontId="5" fillId="3" borderId="4" xfId="0" applyFont="1" applyFill="1" applyBorder="1" applyAlignment="1">
      <alignment vertical="center"/>
    </xf>
    <xf numFmtId="0" fontId="5" fillId="3" borderId="4" xfId="0" applyFont="1" applyFill="1" applyBorder="1" applyAlignment="1">
      <alignment horizontal="center" vertical="center"/>
    </xf>
    <xf numFmtId="0" fontId="0" fillId="0" borderId="4" xfId="0" applyBorder="1"/>
    <xf numFmtId="0" fontId="2" fillId="0" borderId="4" xfId="2" applyBorder="1"/>
    <xf numFmtId="0" fontId="0" fillId="0" borderId="4" xfId="0" applyBorder="1" applyAlignment="1">
      <alignment vertical="center" wrapText="1"/>
    </xf>
    <xf numFmtId="0" fontId="2" fillId="0" borderId="0" xfId="2" applyAlignment="1">
      <alignment wrapText="1"/>
    </xf>
    <xf numFmtId="44" fontId="0" fillId="0" borderId="4" xfId="1" applyFont="1" applyBorder="1" applyAlignment="1">
      <alignment vertical="center"/>
    </xf>
    <xf numFmtId="44" fontId="0" fillId="0" borderId="4" xfId="1" applyFont="1" applyBorder="1" applyAlignment="1">
      <alignment horizontal="center" vertical="center"/>
    </xf>
    <xf numFmtId="0" fontId="0" fillId="0" borderId="4" xfId="0" applyBorder="1" applyAlignment="1">
      <alignment wrapText="1"/>
    </xf>
    <xf numFmtId="0" fontId="6" fillId="5" borderId="4" xfId="0" applyFont="1" applyFill="1" applyBorder="1" applyAlignment="1">
      <alignment horizontal="center" vertical="center"/>
    </xf>
    <xf numFmtId="44" fontId="7" fillId="0" borderId="4" xfId="0" applyNumberFormat="1" applyFont="1" applyBorder="1"/>
    <xf numFmtId="14" fontId="0" fillId="0" borderId="0" xfId="0" applyNumberFormat="1"/>
    <xf numFmtId="0" fontId="5" fillId="6" borderId="5" xfId="0" applyFont="1" applyFill="1" applyBorder="1" applyAlignment="1">
      <alignment vertical="center" wrapText="1"/>
    </xf>
    <xf numFmtId="0" fontId="5" fillId="6" borderId="5" xfId="0" applyFont="1" applyFill="1" applyBorder="1" applyAlignment="1">
      <alignment vertical="center"/>
    </xf>
    <xf numFmtId="1" fontId="5" fillId="6" borderId="5" xfId="0" applyNumberFormat="1" applyFont="1" applyFill="1" applyBorder="1" applyAlignment="1">
      <alignment horizontal="center" vertical="center"/>
    </xf>
    <xf numFmtId="0" fontId="5" fillId="6" borderId="6" xfId="0" applyFont="1" applyFill="1" applyBorder="1" applyAlignment="1">
      <alignment horizontal="center" vertical="center"/>
    </xf>
    <xf numFmtId="44" fontId="5" fillId="6" borderId="4" xfId="1" applyFont="1" applyFill="1" applyBorder="1" applyAlignment="1">
      <alignment horizontal="center" vertical="center"/>
    </xf>
    <xf numFmtId="44" fontId="0" fillId="6" borderId="4" xfId="1" applyFont="1" applyFill="1" applyBorder="1"/>
    <xf numFmtId="0" fontId="5" fillId="6" borderId="7" xfId="0" applyFont="1" applyFill="1" applyBorder="1" applyAlignment="1">
      <alignment vertical="center" wrapText="1"/>
    </xf>
    <xf numFmtId="0" fontId="5" fillId="6" borderId="7" xfId="0" applyFont="1" applyFill="1" applyBorder="1" applyAlignment="1">
      <alignment vertical="center"/>
    </xf>
    <xf numFmtId="0" fontId="5" fillId="6" borderId="8" xfId="0" applyFont="1" applyFill="1" applyBorder="1" applyAlignment="1">
      <alignment horizontal="center" vertical="center"/>
    </xf>
    <xf numFmtId="1" fontId="5" fillId="6" borderId="7" xfId="0" applyNumberFormat="1" applyFont="1" applyFill="1" applyBorder="1" applyAlignment="1">
      <alignment horizontal="center" vertical="center"/>
    </xf>
    <xf numFmtId="0" fontId="5" fillId="7" borderId="7" xfId="0" applyFont="1" applyFill="1" applyBorder="1" applyAlignment="1">
      <alignment vertical="center" wrapText="1"/>
    </xf>
    <xf numFmtId="0" fontId="5" fillId="7" borderId="7" xfId="0" applyFont="1" applyFill="1" applyBorder="1" applyAlignment="1">
      <alignment vertical="center"/>
    </xf>
    <xf numFmtId="1" fontId="2" fillId="7" borderId="7" xfId="2" applyNumberFormat="1" applyFill="1" applyBorder="1" applyAlignment="1">
      <alignment horizontal="center" vertical="center"/>
    </xf>
    <xf numFmtId="0" fontId="5" fillId="7" borderId="8" xfId="0" applyFont="1" applyFill="1" applyBorder="1" applyAlignment="1">
      <alignment horizontal="center" vertical="center"/>
    </xf>
    <xf numFmtId="44" fontId="5" fillId="7" borderId="4" xfId="1" applyFont="1" applyFill="1" applyBorder="1" applyAlignment="1">
      <alignment horizontal="center" vertical="center"/>
    </xf>
    <xf numFmtId="44" fontId="0" fillId="7" borderId="4" xfId="1" applyFont="1" applyFill="1" applyBorder="1"/>
    <xf numFmtId="0" fontId="5" fillId="6" borderId="4" xfId="0" applyFont="1" applyFill="1" applyBorder="1" applyAlignment="1">
      <alignment vertical="center" wrapText="1"/>
    </xf>
    <xf numFmtId="0" fontId="0" fillId="6" borderId="4" xfId="0" applyFill="1" applyBorder="1"/>
    <xf numFmtId="0" fontId="5" fillId="6" borderId="4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</cellXfs>
  <cellStyles count="3">
    <cellStyle name="Hipervínculo" xfId="2" builtinId="8"/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mercadolibre.com.ar/aceite-lubricante-para-turbina-odontologia-gacela-250ml/up/MLAU3318318200" TargetMode="External"/><Relationship Id="rId2" Type="http://schemas.openxmlformats.org/officeDocument/2006/relationships/hyperlink" Target="https://www.mercadolibre.com.ar/estano-en-pasta-sin-plomo-138c-baja-temperatura-best-706/up/MLAU164280839" TargetMode="External"/><Relationship Id="rId1" Type="http://schemas.openxmlformats.org/officeDocument/2006/relationships/hyperlink" Target="https://www.mercadolibre.com.ar/celda-pila-tipo-industrial-aa-nimh-1500mah-12v-terminales/up/MLAU3344270382" TargetMode="External"/><Relationship Id="rId4" Type="http://schemas.openxmlformats.org/officeDocument/2006/relationships/hyperlink" Target="https://www.mercadolibre.com.ar/juego-set-100-puntas-14-bahco-plano-ph-pz-torx-hex-caja/up/MLAU16438952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6E0367-88A0-4090-A8C0-48CC4E39A75A}">
  <dimension ref="A1:I40"/>
  <sheetViews>
    <sheetView tabSelected="1" workbookViewId="0">
      <selection activeCell="J37" sqref="J37"/>
    </sheetView>
  </sheetViews>
  <sheetFormatPr baseColWidth="10" defaultRowHeight="15" x14ac:dyDescent="0.25"/>
  <cols>
    <col min="1" max="1" width="45" customWidth="1"/>
    <col min="2" max="2" width="38" customWidth="1"/>
    <col min="3" max="3" width="14.28515625" customWidth="1"/>
    <col min="4" max="4" width="22" customWidth="1"/>
    <col min="5" max="5" width="16" customWidth="1"/>
    <col min="6" max="6" width="18" customWidth="1"/>
    <col min="7" max="7" width="32.140625" customWidth="1"/>
  </cols>
  <sheetData>
    <row r="1" spans="1:9" ht="16.5" x14ac:dyDescent="0.25">
      <c r="A1" s="52" t="s">
        <v>0</v>
      </c>
      <c r="B1" s="53"/>
      <c r="C1" s="53"/>
      <c r="D1" s="53"/>
      <c r="E1" s="54"/>
      <c r="F1" s="52" t="s">
        <v>1</v>
      </c>
      <c r="G1" s="53"/>
    </row>
    <row r="2" spans="1:9" ht="25.5" x14ac:dyDescent="0.25">
      <c r="A2" s="1" t="s">
        <v>2</v>
      </c>
      <c r="B2" s="1" t="s">
        <v>3</v>
      </c>
      <c r="C2" s="1" t="s">
        <v>4</v>
      </c>
      <c r="D2" s="1" t="s">
        <v>5</v>
      </c>
      <c r="E2" s="1" t="s">
        <v>6</v>
      </c>
      <c r="F2" s="2" t="s">
        <v>7</v>
      </c>
      <c r="G2" s="1" t="s">
        <v>8</v>
      </c>
    </row>
    <row r="3" spans="1:9" x14ac:dyDescent="0.25">
      <c r="A3" s="33" t="s">
        <v>9</v>
      </c>
      <c r="B3" s="34" t="s">
        <v>10</v>
      </c>
      <c r="C3" s="34"/>
      <c r="D3" s="35" t="s">
        <v>11</v>
      </c>
      <c r="E3" s="36">
        <v>8</v>
      </c>
      <c r="F3" s="37">
        <v>163790</v>
      </c>
      <c r="G3" s="38">
        <f>PRODUCT(E3:F3)</f>
        <v>1310320</v>
      </c>
      <c r="H3" t="s">
        <v>56</v>
      </c>
      <c r="I3" s="32">
        <v>46203</v>
      </c>
    </row>
    <row r="4" spans="1:9" x14ac:dyDescent="0.25">
      <c r="A4" s="43" t="s">
        <v>12</v>
      </c>
      <c r="B4" s="44" t="s">
        <v>13</v>
      </c>
      <c r="C4" s="44"/>
      <c r="D4" s="45" t="s">
        <v>14</v>
      </c>
      <c r="E4" s="46">
        <v>30</v>
      </c>
      <c r="F4" s="47">
        <v>6700</v>
      </c>
      <c r="G4" s="48">
        <f t="shared" ref="G4:G39" si="0">PRODUCT(E4:F4)</f>
        <v>201000</v>
      </c>
      <c r="I4" s="32"/>
    </row>
    <row r="5" spans="1:9" x14ac:dyDescent="0.25">
      <c r="A5" s="39" t="s">
        <v>15</v>
      </c>
      <c r="B5" s="40" t="s">
        <v>16</v>
      </c>
      <c r="C5" s="40"/>
      <c r="D5" s="42"/>
      <c r="E5" s="41">
        <v>5</v>
      </c>
      <c r="F5" s="37">
        <v>28000</v>
      </c>
      <c r="G5" s="38">
        <f t="shared" si="0"/>
        <v>140000</v>
      </c>
      <c r="H5" t="s">
        <v>56</v>
      </c>
      <c r="I5" s="32">
        <v>46203</v>
      </c>
    </row>
    <row r="6" spans="1:9" x14ac:dyDescent="0.25">
      <c r="A6" s="8" t="s">
        <v>17</v>
      </c>
      <c r="B6" s="9"/>
      <c r="C6" s="9"/>
      <c r="D6" s="10"/>
      <c r="E6" s="11">
        <v>10</v>
      </c>
      <c r="F6" s="12">
        <v>800</v>
      </c>
      <c r="G6" s="4">
        <f t="shared" si="0"/>
        <v>8000</v>
      </c>
    </row>
    <row r="7" spans="1:9" x14ac:dyDescent="0.25">
      <c r="A7" s="5" t="s">
        <v>18</v>
      </c>
      <c r="B7" s="6" t="s">
        <v>19</v>
      </c>
      <c r="C7" s="6"/>
      <c r="D7" s="13"/>
      <c r="E7" s="7">
        <v>30</v>
      </c>
      <c r="F7" s="3">
        <v>612</v>
      </c>
      <c r="G7" s="4">
        <f t="shared" si="0"/>
        <v>18360</v>
      </c>
    </row>
    <row r="8" spans="1:9" x14ac:dyDescent="0.25">
      <c r="A8" s="5" t="s">
        <v>20</v>
      </c>
      <c r="B8" s="6" t="s">
        <v>19</v>
      </c>
      <c r="C8" s="6"/>
      <c r="D8" s="13"/>
      <c r="E8" s="7">
        <v>30</v>
      </c>
      <c r="F8" s="3">
        <v>612</v>
      </c>
      <c r="G8" s="4">
        <f t="shared" si="0"/>
        <v>18360</v>
      </c>
    </row>
    <row r="9" spans="1:9" x14ac:dyDescent="0.25">
      <c r="A9" s="8" t="s">
        <v>21</v>
      </c>
      <c r="B9" s="6" t="s">
        <v>19</v>
      </c>
      <c r="C9" s="9"/>
      <c r="D9" s="10"/>
      <c r="E9" s="11">
        <v>30</v>
      </c>
      <c r="F9" s="12">
        <v>645</v>
      </c>
      <c r="G9" s="4">
        <f t="shared" si="0"/>
        <v>19350</v>
      </c>
    </row>
    <row r="10" spans="1:9" x14ac:dyDescent="0.25">
      <c r="A10" s="8" t="s">
        <v>22</v>
      </c>
      <c r="B10" s="6" t="s">
        <v>19</v>
      </c>
      <c r="C10" s="9"/>
      <c r="D10" s="10"/>
      <c r="E10" s="11">
        <v>30</v>
      </c>
      <c r="F10" s="12">
        <v>645</v>
      </c>
      <c r="G10" s="4">
        <f t="shared" si="0"/>
        <v>19350</v>
      </c>
    </row>
    <row r="11" spans="1:9" x14ac:dyDescent="0.25">
      <c r="A11" s="8" t="s">
        <v>23</v>
      </c>
      <c r="B11" s="6"/>
      <c r="C11" s="9"/>
      <c r="D11" s="10"/>
      <c r="E11" s="11">
        <v>5</v>
      </c>
      <c r="F11" s="12">
        <v>9974</v>
      </c>
      <c r="G11" s="4">
        <f t="shared" si="0"/>
        <v>49870</v>
      </c>
    </row>
    <row r="12" spans="1:9" x14ac:dyDescent="0.25">
      <c r="A12" s="8" t="s">
        <v>24</v>
      </c>
      <c r="B12" s="6"/>
      <c r="C12" s="9"/>
      <c r="D12" s="10"/>
      <c r="E12" s="11">
        <v>5</v>
      </c>
      <c r="F12" s="12">
        <v>9767</v>
      </c>
      <c r="G12" s="4">
        <f t="shared" si="0"/>
        <v>48835</v>
      </c>
    </row>
    <row r="13" spans="1:9" x14ac:dyDescent="0.25">
      <c r="A13" s="5" t="s">
        <v>25</v>
      </c>
      <c r="B13" s="6" t="s">
        <v>19</v>
      </c>
      <c r="C13" s="6"/>
      <c r="D13" s="13"/>
      <c r="E13" s="7">
        <v>10</v>
      </c>
      <c r="F13" s="3">
        <v>1000</v>
      </c>
      <c r="G13" s="4">
        <f t="shared" si="0"/>
        <v>10000</v>
      </c>
    </row>
    <row r="14" spans="1:9" x14ac:dyDescent="0.25">
      <c r="A14" s="5" t="s">
        <v>26</v>
      </c>
      <c r="B14" s="6" t="s">
        <v>19</v>
      </c>
      <c r="C14" s="6"/>
      <c r="D14" s="13"/>
      <c r="E14" s="7">
        <v>2</v>
      </c>
      <c r="F14" s="3">
        <v>7500</v>
      </c>
      <c r="G14" s="4">
        <f t="shared" si="0"/>
        <v>15000</v>
      </c>
    </row>
    <row r="15" spans="1:9" x14ac:dyDescent="0.25">
      <c r="A15" s="5" t="s">
        <v>27</v>
      </c>
      <c r="B15" s="6" t="s">
        <v>19</v>
      </c>
      <c r="C15" s="9"/>
      <c r="D15" s="10"/>
      <c r="E15" s="7">
        <v>2</v>
      </c>
      <c r="F15" s="3">
        <v>7500</v>
      </c>
      <c r="G15" s="4">
        <f t="shared" si="0"/>
        <v>15000</v>
      </c>
    </row>
    <row r="16" spans="1:9" x14ac:dyDescent="0.25">
      <c r="A16" s="5" t="s">
        <v>28</v>
      </c>
      <c r="B16" s="6" t="s">
        <v>19</v>
      </c>
      <c r="C16" s="6"/>
      <c r="D16" s="13"/>
      <c r="E16" s="7">
        <v>2</v>
      </c>
      <c r="F16" s="3">
        <v>7500</v>
      </c>
      <c r="G16" s="4">
        <f t="shared" si="0"/>
        <v>15000</v>
      </c>
    </row>
    <row r="17" spans="1:9" x14ac:dyDescent="0.25">
      <c r="A17" s="5" t="s">
        <v>29</v>
      </c>
      <c r="B17" s="6" t="s">
        <v>19</v>
      </c>
      <c r="C17" s="9"/>
      <c r="D17" s="10"/>
      <c r="E17" s="7">
        <v>2</v>
      </c>
      <c r="F17" s="3">
        <v>7500</v>
      </c>
      <c r="G17" s="4">
        <f t="shared" si="0"/>
        <v>15000</v>
      </c>
    </row>
    <row r="18" spans="1:9" x14ac:dyDescent="0.25">
      <c r="A18" s="5" t="s">
        <v>30</v>
      </c>
      <c r="B18" s="6" t="s">
        <v>19</v>
      </c>
      <c r="C18" s="6"/>
      <c r="D18" s="14"/>
      <c r="E18" s="7">
        <v>2</v>
      </c>
      <c r="F18" s="3">
        <v>7500</v>
      </c>
      <c r="G18" s="4">
        <f t="shared" si="0"/>
        <v>15000</v>
      </c>
    </row>
    <row r="19" spans="1:9" x14ac:dyDescent="0.25">
      <c r="A19" s="15" t="s">
        <v>31</v>
      </c>
      <c r="B19" s="6" t="s">
        <v>19</v>
      </c>
      <c r="C19" s="16"/>
      <c r="D19" s="17"/>
      <c r="E19" s="18">
        <v>2</v>
      </c>
      <c r="F19" s="3">
        <v>7500</v>
      </c>
      <c r="G19" s="19">
        <f t="shared" si="0"/>
        <v>15000</v>
      </c>
    </row>
    <row r="20" spans="1:9" x14ac:dyDescent="0.25">
      <c r="A20" s="20" t="s">
        <v>32</v>
      </c>
      <c r="B20" s="6" t="s">
        <v>19</v>
      </c>
      <c r="C20" s="21"/>
      <c r="D20" s="22"/>
      <c r="E20" s="22">
        <v>2</v>
      </c>
      <c r="F20" s="3">
        <v>7500</v>
      </c>
      <c r="G20" s="19">
        <f t="shared" si="0"/>
        <v>15000</v>
      </c>
    </row>
    <row r="21" spans="1:9" x14ac:dyDescent="0.25">
      <c r="A21" s="20" t="s">
        <v>33</v>
      </c>
      <c r="B21" s="6" t="s">
        <v>19</v>
      </c>
      <c r="C21" s="23"/>
      <c r="D21" s="23"/>
      <c r="E21" s="22">
        <v>2</v>
      </c>
      <c r="F21" s="3">
        <v>7500</v>
      </c>
      <c r="G21" s="19">
        <f t="shared" si="0"/>
        <v>15000</v>
      </c>
    </row>
    <row r="22" spans="1:9" x14ac:dyDescent="0.25">
      <c r="A22" s="5" t="s">
        <v>34</v>
      </c>
      <c r="B22" s="6" t="s">
        <v>19</v>
      </c>
      <c r="C22" s="23"/>
      <c r="D22" s="23"/>
      <c r="E22" s="22">
        <v>2</v>
      </c>
      <c r="F22" s="3">
        <v>7500</v>
      </c>
      <c r="G22" s="19">
        <f t="shared" si="0"/>
        <v>15000</v>
      </c>
    </row>
    <row r="23" spans="1:9" x14ac:dyDescent="0.25">
      <c r="A23" s="20" t="s">
        <v>35</v>
      </c>
      <c r="B23" s="6" t="s">
        <v>19</v>
      </c>
      <c r="C23" s="23"/>
      <c r="D23" s="23"/>
      <c r="E23" s="22">
        <v>2</v>
      </c>
      <c r="F23" s="3">
        <v>7500</v>
      </c>
      <c r="G23" s="19">
        <f t="shared" si="0"/>
        <v>15000</v>
      </c>
    </row>
    <row r="24" spans="1:9" x14ac:dyDescent="0.25">
      <c r="A24" s="20" t="s">
        <v>36</v>
      </c>
      <c r="B24" s="6" t="s">
        <v>19</v>
      </c>
      <c r="C24" s="23"/>
      <c r="D24" s="23"/>
      <c r="E24" s="22">
        <v>2</v>
      </c>
      <c r="F24" s="3">
        <v>7500</v>
      </c>
      <c r="G24" s="19">
        <f t="shared" si="0"/>
        <v>15000</v>
      </c>
    </row>
    <row r="25" spans="1:9" x14ac:dyDescent="0.25">
      <c r="A25" s="20" t="s">
        <v>37</v>
      </c>
      <c r="B25" s="6" t="s">
        <v>19</v>
      </c>
      <c r="C25" s="23"/>
      <c r="D25" s="23"/>
      <c r="E25" s="22">
        <v>2</v>
      </c>
      <c r="F25" s="3">
        <v>7500</v>
      </c>
      <c r="G25" s="19">
        <f t="shared" si="0"/>
        <v>15000</v>
      </c>
    </row>
    <row r="26" spans="1:9" x14ac:dyDescent="0.25">
      <c r="A26" s="20" t="s">
        <v>38</v>
      </c>
      <c r="B26" s="6" t="s">
        <v>19</v>
      </c>
      <c r="C26" s="23"/>
      <c r="D26" s="23"/>
      <c r="E26" s="22">
        <v>2</v>
      </c>
      <c r="F26" s="3">
        <v>7500</v>
      </c>
      <c r="G26" s="19">
        <f t="shared" si="0"/>
        <v>15000</v>
      </c>
    </row>
    <row r="27" spans="1:9" x14ac:dyDescent="0.25">
      <c r="A27" s="20" t="s">
        <v>39</v>
      </c>
      <c r="B27" s="6" t="s">
        <v>19</v>
      </c>
      <c r="C27" s="23"/>
      <c r="D27" s="23"/>
      <c r="E27" s="22">
        <v>2</v>
      </c>
      <c r="F27" s="3">
        <v>7500</v>
      </c>
      <c r="G27" s="19">
        <f t="shared" si="0"/>
        <v>15000</v>
      </c>
    </row>
    <row r="28" spans="1:9" x14ac:dyDescent="0.25">
      <c r="A28" s="20" t="s">
        <v>40</v>
      </c>
      <c r="B28" s="6" t="s">
        <v>19</v>
      </c>
      <c r="C28" s="23"/>
      <c r="D28" s="23"/>
      <c r="E28" s="22">
        <v>2</v>
      </c>
      <c r="F28" s="3">
        <v>7500</v>
      </c>
      <c r="G28" s="19">
        <f t="shared" si="0"/>
        <v>15000</v>
      </c>
    </row>
    <row r="29" spans="1:9" x14ac:dyDescent="0.25">
      <c r="A29" s="20" t="s">
        <v>41</v>
      </c>
      <c r="B29" s="6" t="s">
        <v>19</v>
      </c>
      <c r="C29" s="23"/>
      <c r="D29" s="23"/>
      <c r="E29" s="22">
        <v>2</v>
      </c>
      <c r="F29" s="3">
        <v>7500</v>
      </c>
      <c r="G29" s="19">
        <f t="shared" si="0"/>
        <v>15000</v>
      </c>
    </row>
    <row r="30" spans="1:9" x14ac:dyDescent="0.25">
      <c r="A30" s="49" t="s">
        <v>42</v>
      </c>
      <c r="B30" s="50" t="s">
        <v>43</v>
      </c>
      <c r="C30" s="50"/>
      <c r="D30" s="50"/>
      <c r="E30" s="51">
        <v>6</v>
      </c>
      <c r="F30" s="38">
        <v>10000</v>
      </c>
      <c r="G30" s="38">
        <f t="shared" si="0"/>
        <v>60000</v>
      </c>
      <c r="H30" t="s">
        <v>56</v>
      </c>
      <c r="I30" s="32">
        <v>46203</v>
      </c>
    </row>
    <row r="31" spans="1:9" x14ac:dyDescent="0.25">
      <c r="A31" s="49" t="s">
        <v>44</v>
      </c>
      <c r="B31" s="50" t="s">
        <v>43</v>
      </c>
      <c r="C31" s="50"/>
      <c r="D31" s="50"/>
      <c r="E31" s="51">
        <v>6</v>
      </c>
      <c r="F31" s="38">
        <v>10000</v>
      </c>
      <c r="G31" s="38">
        <f t="shared" si="0"/>
        <v>60000</v>
      </c>
      <c r="H31" t="s">
        <v>56</v>
      </c>
      <c r="I31" s="32">
        <v>46203</v>
      </c>
    </row>
    <row r="32" spans="1:9" x14ac:dyDescent="0.25">
      <c r="A32" s="49" t="s">
        <v>45</v>
      </c>
      <c r="B32" s="50" t="s">
        <v>43</v>
      </c>
      <c r="C32" s="50"/>
      <c r="D32" s="50"/>
      <c r="E32" s="51">
        <v>6</v>
      </c>
      <c r="F32" s="38">
        <v>10000</v>
      </c>
      <c r="G32" s="38">
        <f t="shared" si="0"/>
        <v>60000</v>
      </c>
      <c r="H32" t="s">
        <v>56</v>
      </c>
      <c r="I32" s="32">
        <v>46203</v>
      </c>
    </row>
    <row r="33" spans="1:7" x14ac:dyDescent="0.25">
      <c r="A33" s="20" t="s">
        <v>46</v>
      </c>
      <c r="B33" s="21" t="s">
        <v>19</v>
      </c>
      <c r="C33" s="23"/>
      <c r="D33" s="23"/>
      <c r="E33" s="22">
        <v>3</v>
      </c>
      <c r="F33" s="4">
        <v>5500</v>
      </c>
      <c r="G33" s="4">
        <f t="shared" si="0"/>
        <v>16500</v>
      </c>
    </row>
    <row r="34" spans="1:7" x14ac:dyDescent="0.25">
      <c r="A34" s="23" t="s">
        <v>47</v>
      </c>
      <c r="B34" s="21" t="s">
        <v>19</v>
      </c>
      <c r="C34" s="23"/>
      <c r="D34" s="24" t="s">
        <v>48</v>
      </c>
      <c r="E34" s="22">
        <v>3</v>
      </c>
      <c r="F34" s="4">
        <v>10900</v>
      </c>
      <c r="G34" s="4">
        <f t="shared" si="0"/>
        <v>32700</v>
      </c>
    </row>
    <row r="35" spans="1:7" x14ac:dyDescent="0.25">
      <c r="A35" s="23" t="s">
        <v>49</v>
      </c>
      <c r="B35" s="21" t="s">
        <v>19</v>
      </c>
      <c r="C35" s="23"/>
      <c r="D35" s="23"/>
      <c r="E35" s="22">
        <v>5</v>
      </c>
      <c r="F35" s="4">
        <v>8900</v>
      </c>
      <c r="G35" s="4">
        <f t="shared" si="0"/>
        <v>44500</v>
      </c>
    </row>
    <row r="36" spans="1:7" x14ac:dyDescent="0.25">
      <c r="A36" s="23" t="s">
        <v>50</v>
      </c>
      <c r="B36" s="21"/>
      <c r="C36" s="23"/>
      <c r="D36" s="23"/>
      <c r="E36" s="22">
        <v>1</v>
      </c>
      <c r="F36" s="4">
        <v>16000</v>
      </c>
      <c r="G36" s="4">
        <f t="shared" si="0"/>
        <v>16000</v>
      </c>
    </row>
    <row r="37" spans="1:7" ht="60" x14ac:dyDescent="0.25">
      <c r="A37" s="25" t="s">
        <v>51</v>
      </c>
      <c r="B37" s="21"/>
      <c r="C37" s="23"/>
      <c r="D37" s="26" t="s">
        <v>52</v>
      </c>
      <c r="E37" s="22">
        <v>1</v>
      </c>
      <c r="F37" s="27">
        <v>56790</v>
      </c>
      <c r="G37" s="28">
        <f t="shared" si="0"/>
        <v>56790</v>
      </c>
    </row>
    <row r="38" spans="1:7" x14ac:dyDescent="0.25">
      <c r="A38" s="29" t="s">
        <v>53</v>
      </c>
      <c r="B38" s="21" t="s">
        <v>19</v>
      </c>
      <c r="C38" s="23"/>
      <c r="D38" s="24"/>
      <c r="E38" s="22">
        <v>1</v>
      </c>
      <c r="F38" s="4">
        <v>40000</v>
      </c>
      <c r="G38" s="4">
        <f t="shared" si="0"/>
        <v>40000</v>
      </c>
    </row>
    <row r="39" spans="1:7" ht="24" x14ac:dyDescent="0.25">
      <c r="A39" s="20" t="s">
        <v>54</v>
      </c>
      <c r="B39" s="21" t="s">
        <v>19</v>
      </c>
      <c r="C39" s="23"/>
      <c r="D39" s="24" t="s">
        <v>55</v>
      </c>
      <c r="E39" s="22">
        <v>1</v>
      </c>
      <c r="F39" s="4">
        <v>20278</v>
      </c>
      <c r="G39" s="19">
        <f t="shared" si="0"/>
        <v>20278</v>
      </c>
    </row>
    <row r="40" spans="1:7" ht="21" x14ac:dyDescent="0.35">
      <c r="E40" s="30">
        <f>SUM(E3:E39)</f>
        <v>258</v>
      </c>
      <c r="G40" s="31">
        <f>SUM(G3:G39)</f>
        <v>2490213</v>
      </c>
    </row>
  </sheetData>
  <mergeCells count="2">
    <mergeCell ref="A1:E1"/>
    <mergeCell ref="F1:G1"/>
  </mergeCells>
  <hyperlinks>
    <hyperlink ref="D4" r:id="rId1" location="polycard_client=search-desktop&amp;search_layout=grid&amp;position=28&amp;type=product&amp;tracking_id=42fc4304-be9b-419c-89d4-318529bd6cf0&amp;wid=MLA2213553610&amp;sid=search" display="https://www.mercadolibre.com.ar/celda-pila-tipo-industrial-aa-nimh-1500mah-12v-terminales/up/MLAU3344270382#polycard_client=search-desktop&amp;search_layout=grid&amp;position=28&amp;type=product&amp;tracking_id=42fc4304-be9b-419c-89d4-318529bd6cf0&amp;wid=MLA2213553610&amp;sid=search" xr:uid="{4AE2E948-8A61-49A4-BA66-D3F745A2FD9F}"/>
    <hyperlink ref="D34" r:id="rId2" location="polycard_client=search-desktop&amp;search_layout=grid&amp;position=10&amp;type=product&amp;tracking_id=0cdda296-bddb-4617-97f6-74f64dab685b&amp;wid=MLA869628536&amp;sid=search" display="https://www.mercadolibre.com.ar/estano-en-pasta-sin-plomo-138c-baja-temperatura-best-706/up/MLAU164280839 - polycard_client=search-desktop&amp;search_layout=grid&amp;position=10&amp;type=product&amp;tracking_id=0cdda296-bddb-4617-97f6-74f64dab685b&amp;wid=MLA869628536&amp;sid=search" xr:uid="{5E1619E2-CAE3-4FCA-BD37-B05C6C193CD4}"/>
    <hyperlink ref="D39" r:id="rId3" location="polycard_client=search-desktop&amp;search_layout=grid&amp;position=2&amp;type=product&amp;tracking_id=58071ab7-af0c-4b47-9251-5fae7bfb37bc&amp;wid=MLA1511101111&amp;sid=search" display="https://www.mercadolibre.com.ar/aceite-lubricante-para-turbina-odontologia-gacela-250ml/up/MLAU3318318200 - polycard_client=search-desktop&amp;search_layout=grid&amp;position=2&amp;type=product&amp;tracking_id=58071ab7-af0c-4b47-9251-5fae7bfb37bc&amp;wid=MLA1511101111&amp;sid=search" xr:uid="{FB0E7950-8E34-475A-9027-9DE37BD00934}"/>
    <hyperlink ref="D37" r:id="rId4" location="polycard_client=search-desktop&amp;search_layout=grid&amp;position=47&amp;type=product&amp;tracking_id=9ad0cf01-beda-493e-87fa-6e7fcff70dad&amp;wid=MLA1449794624&amp;sid=search" display="https://www.mercadolibre.com.ar/juego-set-100-puntas-14-bahco-plano-ph-pz-torx-hex-caja/up/MLAU164389523 - polycard_client=search-desktop&amp;search_layout=grid&amp;position=47&amp;type=product&amp;tracking_id=9ad0cf01-beda-493e-87fa-6e7fcff70dad&amp;wid=MLA1449794624&amp;sid=search" xr:uid="{265E3AF5-62C7-4FFB-AD68-10DD035A6422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Bioingeniería Hospital Central Ramon Carrillo</dc:creator>
  <cp:lastModifiedBy>Bioingeniería Hospital Central Ramon Carrillo</cp:lastModifiedBy>
  <dcterms:created xsi:type="dcterms:W3CDTF">2026-04-17T17:52:06Z</dcterms:created>
  <dcterms:modified xsi:type="dcterms:W3CDTF">2026-07-14T17:19:29Z</dcterms:modified>
</cp:coreProperties>
</file>