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shboard" sheetId="2" state="visible" r:id="rId4"/>
    <sheet name="Stock" sheetId="3" state="visible" r:id="rId5"/>
    <sheet name="Movimientos" sheetId="4" state="visible" r:id="rId6"/>
    <sheet name="Pedidos" sheetId="5" state="visible" r:id="rId7"/>
    <sheet name="Confi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<sst xmlns="http://schemas.openxmlformats.org/spreadsheetml/2006/main" count="272" uniqueCount="147">
  <si>
    <t xml:space="preserve">📖 CÓMO USAR ESTA PLANILLA</t>
  </si>
  <si>
    <t xml:space="preserve">1. 📊 Dashboard</t>
  </si>
  <si>
    <t xml:space="preserve">Muestra KPIs, costos por servicio y valor del inventario por equipo médico.</t>
  </si>
  <si>
    <t xml:space="preserve">2. 📦 Stock</t>
  </si>
  <si>
    <t xml:space="preserve">Lista maestra de insumos con fotos, stock, precios, y columna 'Estado' con semáforo.</t>
  </si>
  <si>
    <t xml:space="preserve">3. 🔄 Movimientos</t>
  </si>
  <si>
    <t xml:space="preserve">Registra cada entrada/salida: Tipo IN/OUT, Insumo y Servicio desde listas desplegables, Cantidad, Responsable y N° paciente/estudio.</t>
  </si>
  <si>
    <t xml:space="preserve">4. 📝 Pedidos</t>
  </si>
  <si>
    <t xml:space="preserve">Listado automático para pedido de compra. 'Sugerido' calcula reposición según promedio anual vs stock.</t>
  </si>
  <si>
    <t xml:space="preserve">5. ⚙️ Config</t>
  </si>
  <si>
    <t xml:space="preserve">Tipo de cambio ARS/USD y umbral de stock crítico (%). Lista de servicios editable.</t>
  </si>
  <si>
    <t xml:space="preserve">💡 Tip</t>
  </si>
  <si>
    <t xml:space="preserve">Para agregar un insumo: llena una nueva fila en 'Stock' (no olvides el precio). Foto: Insertar &gt; Imagen en la celda Foto.</t>
  </si>
  <si>
    <t xml:space="preserve">🔗 App HTML</t>
  </si>
  <si>
    <t xml:space="preserve">Además de este Excel, tienes la app HTML interactiva (Stock_Insumos_App.html) con las mismas funciones + fotos grandes.</t>
  </si>
  <si>
    <t xml:space="preserve">📊 DASHBOARD — Stock de Insumos</t>
  </si>
  <si>
    <t xml:space="preserve">Actualizado automáticamente desde las hojas Stock y Movimientos</t>
  </si>
  <si>
    <t xml:space="preserve">Total insumos</t>
  </si>
  <si>
    <t xml:space="preserve">Stock crítico</t>
  </si>
  <si>
    <t xml:space="preserve">Valor inv. USD</t>
  </si>
  <si>
    <t xml:space="preserve">Valor inv. ARS</t>
  </si>
  <si>
    <t xml:space="preserve">💰 Costo por servicio (basado en salidas registradas)</t>
  </si>
  <si>
    <t xml:space="preserve">Servicio</t>
  </si>
  <si>
    <t xml:space="preserve">Unidades consumidas</t>
  </si>
  <si>
    <t xml:space="preserve">Costo USD</t>
  </si>
  <si>
    <t xml:space="preserve">Costo ARS</t>
  </si>
  <si>
    <t xml:space="preserve">UTI / Terapia Intensiva</t>
  </si>
  <si>
    <t xml:space="preserve">Laboratorio del Sueño / EEG</t>
  </si>
  <si>
    <t xml:space="preserve">Cardiología / Ergometría</t>
  </si>
  <si>
    <t xml:space="preserve">Consultorios / Emergencias / Quirófano</t>
  </si>
  <si>
    <t xml:space="preserve">Quirófano</t>
  </si>
  <si>
    <t xml:space="preserve">UCO</t>
  </si>
  <si>
    <t xml:space="preserve">TOTAL</t>
  </si>
  <si>
    <t xml:space="preserve">🏥 Valor del inventario por equipo médico</t>
  </si>
  <si>
    <t xml:space="preserve">Equipo médico</t>
  </si>
  <si>
    <t xml:space="preserve">Items</t>
  </si>
  <si>
    <t xml:space="preserve">Stock total</t>
  </si>
  <si>
    <t xml:space="preserve">Valor USD</t>
  </si>
  <si>
    <t xml:space="preserve">Valor ARS</t>
  </si>
  <si>
    <t xml:space="preserve">Alice 6</t>
  </si>
  <si>
    <t xml:space="preserve">Desfibrilador de onda Bifasica Efficia DFM100</t>
  </si>
  <si>
    <t xml:space="preserve">Ecografo</t>
  </si>
  <si>
    <t xml:space="preserve">Estudio del Sueño / EEG</t>
  </si>
  <si>
    <t xml:space="preserve">Estudio del Sueño /EEG</t>
  </si>
  <si>
    <t xml:space="preserve">Holter</t>
  </si>
  <si>
    <t xml:space="preserve">Monitor Mulpiparametrico MX800 / MX450 (Philips)</t>
  </si>
  <si>
    <t xml:space="preserve">Oftalmoscopio</t>
  </si>
  <si>
    <t xml:space="preserve">Otoscopio</t>
  </si>
  <si>
    <t xml:space="preserve">Poligrafo</t>
  </si>
  <si>
    <t xml:space="preserve">Schiller Sana Bike 1000 ERG 911 PLUS</t>
  </si>
  <si>
    <t xml:space="preserve">Tensiometro Digital</t>
  </si>
  <si>
    <t xml:space="preserve">📦 STOCK DE INSUMOS — Lista maestra</t>
  </si>
  <si>
    <t xml:space="preserve">Foto</t>
  </si>
  <si>
    <t xml:space="preserve">ITEM</t>
  </si>
  <si>
    <t xml:space="preserve">Stock</t>
  </si>
  <si>
    <t xml:space="preserve">Estado</t>
  </si>
  <si>
    <t xml:space="preserve">Marca</t>
  </si>
  <si>
    <t xml:space="preserve">Referencia/URL</t>
  </si>
  <si>
    <t xml:space="preserve">Ubicación</t>
  </si>
  <si>
    <t xml:space="preserve">Prom. anual</t>
  </si>
  <si>
    <t xml:space="preserve">Solicitud compra</t>
  </si>
  <si>
    <t xml:space="preserve">Moneda</t>
  </si>
  <si>
    <t xml:space="preserve">Precio (original)</t>
  </si>
  <si>
    <t xml:space="preserve">Precio unit. valor</t>
  </si>
  <si>
    <t xml:space="preserve">Precio USD</t>
  </si>
  <si>
    <t xml:space="preserve">Precio ARS</t>
  </si>
  <si>
    <t xml:space="preserve">Set de 9 Latiguillos para medicion  de 4 canales de EEG</t>
  </si>
  <si>
    <t xml:space="preserve">PHILIPS</t>
  </si>
  <si>
    <t xml:space="preserve">989803180561</t>
  </si>
  <si>
    <t xml:space="preserve">USD</t>
  </si>
  <si>
    <t xml:space="preserve">USD 686,79</t>
  </si>
  <si>
    <t xml:space="preserve">Cable Troncal de 4 canales de EEG 9 derivaciones</t>
  </si>
  <si>
    <t xml:space="preserve">9989803180541</t>
  </si>
  <si>
    <t xml:space="preserve">USD 895,44</t>
  </si>
  <si>
    <t xml:space="preserve">Cable ECG 3 derivaciones M1672A</t>
  </si>
  <si>
    <t xml:space="preserve">USD 177,76</t>
  </si>
  <si>
    <t xml:space="preserve">Cable ECG 5 derivaciones M1644A</t>
  </si>
  <si>
    <t xml:space="preserve">USD 260,31</t>
  </si>
  <si>
    <t xml:space="preserve">Cable ECG troncal de 5 derivaciones M1668A</t>
  </si>
  <si>
    <t xml:space="preserve">USD 271,77</t>
  </si>
  <si>
    <t xml:space="preserve">Cable ECG 3 derivaciones M1673A</t>
  </si>
  <si>
    <t xml:space="preserve">Cable ECG troncal 3 derivaciones M1669A</t>
  </si>
  <si>
    <t xml:space="preserve">USD 212,16</t>
  </si>
  <si>
    <t xml:space="preserve">Cable ECG troncal (5+5) (polígrafo) M1949A</t>
  </si>
  <si>
    <t xml:space="preserve">Manguito PNI Adultos M1574A</t>
  </si>
  <si>
    <t xml:space="preserve">989803104171</t>
  </si>
  <si>
    <t xml:space="preserve">USD 72,29</t>
  </si>
  <si>
    <t xml:space="preserve">Manguito PNI Obeso M1576A</t>
  </si>
  <si>
    <t xml:space="preserve">USD 161,71</t>
  </si>
  <si>
    <t xml:space="preserve">Sensor de temperatura esofagico - rectal 21075A</t>
  </si>
  <si>
    <t xml:space="preserve">USD 349,73</t>
  </si>
  <si>
    <t xml:space="preserve">Sensor SpO2 - M1191BL</t>
  </si>
  <si>
    <t xml:space="preserve">USD 393,3</t>
  </si>
  <si>
    <t xml:space="preserve">Set de cable de EEG 90 cm (5 cables)</t>
  </si>
  <si>
    <t xml:space="preserve">Insumos Hospitalarios | Cardiosistemas SRL</t>
  </si>
  <si>
    <t xml:space="preserve">ARS</t>
  </si>
  <si>
    <t xml:space="preserve">$8000 C/U APROX.</t>
  </si>
  <si>
    <t xml:space="preserve">Set de Latiguillos  EEG  120CM (5 cables)</t>
  </si>
  <si>
    <t xml:space="preserve">$9500 C/U APROX.</t>
  </si>
  <si>
    <t xml:space="preserve">Set de Latiguillos EEG  200CM ( 5 cables)</t>
  </si>
  <si>
    <t xml:space="preserve">$15000 C/U APROX.</t>
  </si>
  <si>
    <t xml:space="preserve">Set de Cable Paciente ECG (7 CABLES) 60CM</t>
  </si>
  <si>
    <t xml:space="preserve">D7-60S</t>
  </si>
  <si>
    <t xml:space="preserve">Set de Cable Paciente ECG (5 CABLES) 90CM</t>
  </si>
  <si>
    <t xml:space="preserve">D5-90S</t>
  </si>
  <si>
    <t xml:space="preserve">Manguito PNI Adult 11 (25-34cm)</t>
  </si>
  <si>
    <t xml:space="preserve">Welch Allyn</t>
  </si>
  <si>
    <t xml:space="preserve">https://conmil.com.ar/es/store/</t>
  </si>
  <si>
    <t xml:space="preserve">Manguito PNI Obeso Adulto 12 (32-43cm)</t>
  </si>
  <si>
    <t xml:space="preserve">Manguito PNI M-L (22-42cm)</t>
  </si>
  <si>
    <t xml:space="preserve">Microlife</t>
  </si>
  <si>
    <t xml:space="preserve">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</t>
  </si>
  <si>
    <t xml:space="preserve">Manguito PNI Obeso L-XL (32-52cm)</t>
  </si>
  <si>
    <t xml:space="preserve">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</t>
  </si>
  <si>
    <t xml:space="preserve">cable de ergonometria</t>
  </si>
  <si>
    <t xml:space="preserve">SCHILLER</t>
  </si>
  <si>
    <t xml:space="preserve">ADAPTADOR FT-1 | Conmil Web</t>
  </si>
  <si>
    <t xml:space="preserve">Cable paciente para cicloergometro</t>
  </si>
  <si>
    <t xml:space="preserve">https://conmil.com.ar/es/producto/cable-paciente-ecg---clip</t>
  </si>
  <si>
    <t xml:space="preserve">Sensor de posisicon de vertical  1078758</t>
  </si>
  <si>
    <t xml:space="preserve">AGIMED</t>
  </si>
  <si>
    <t xml:space="preserve">kit Durabelt zRip 1078925/1073622</t>
  </si>
  <si>
    <t xml:space="preserve">Termisor Oronasal 1078754</t>
  </si>
  <si>
    <t xml:space="preserve">Lámpara LED 3,5V 03100 REF 901181</t>
  </si>
  <si>
    <t xml:space="preserve">Lámpara Halógena 3,5V 04900 REF 901181</t>
  </si>
  <si>
    <t xml:space="preserve">🔄 REGISTRO DE MOVIMIENTOS (Entradas / Salidas)</t>
  </si>
  <si>
    <t xml:space="preserve">Fecha</t>
  </si>
  <si>
    <t xml:space="preserve">Tipo (IN/OUT)</t>
  </si>
  <si>
    <t xml:space="preserve">Cantidad</t>
  </si>
  <si>
    <t xml:space="preserve">Cant*</t>
  </si>
  <si>
    <t xml:space="preserve">Responsable</t>
  </si>
  <si>
    <t xml:space="preserve">Paciente/Estudio</t>
  </si>
  <si>
    <t xml:space="preserve">Subtotal USD</t>
  </si>
  <si>
    <t xml:space="preserve">Subtotal ARS</t>
  </si>
  <si>
    <t xml:space="preserve">Notas</t>
  </si>
  <si>
    <t xml:space="preserve">📝 LISTADO DE PEDIDO DE INSUMOS</t>
  </si>
  <si>
    <t xml:space="preserve">💡 Edita la columna 'Cant. a pedir' para generar tu pedido. 'Sugerido' propone cuánto reponer según promedio anual vs stock.</t>
  </si>
  <si>
    <t xml:space="preserve">Stock actual</t>
  </si>
  <si>
    <t xml:space="preserve">Sugerido</t>
  </si>
  <si>
    <t xml:space="preserve">Cant. a pedir</t>
  </si>
  <si>
    <t xml:space="preserve">Precio unit.</t>
  </si>
  <si>
    <t xml:space="preserve">⚙️ CONFIGURACIÓN</t>
  </si>
  <si>
    <t xml:space="preserve">Tipo de cambio (ARS por 1 USD):</t>
  </si>
  <si>
    <t xml:space="preserve">SERVICIOS</t>
  </si>
  <si>
    <t xml:space="preserve">Umbral stock crítico (% prom. anual):</t>
  </si>
  <si>
    <t xml:space="preserve">Agrega más servicios debajo (columna D). Se reflejan en las listas desplegables de Movimientos.</t>
  </si>
  <si>
    <t xml:space="preserve">⚠️ Editables: amarillo = cambia estos valores; fórmulas recalculan automáticamente.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</si>
</sst>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USD &quot;#,##0.00"/>
    <numFmt numFmtId="166" formatCode="&quot;$ &quot;#,##0"/>
    <numFmt numFmtId="167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766E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F766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4"/>
      <color rgb="FF0F76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10"/>
      <color rgb="FFD977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0F2FE"/>
        <bgColor rgb="FFDCFCE7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991B1B"/>
        <sz val="10"/>
      </font>
      <fill>
        <patternFill>
          <bgColor rgb="FFFCA5A5"/>
        </patternFill>
      </fill>
    </dxf>
    <dxf>
      <font>
        <name val="Arial"/>
        <charset val="1"/>
        <family val="0"/>
        <b val="1"/>
        <color rgb="FF9A3412"/>
        <sz val="10"/>
      </font>
      <fill>
        <patternFill>
          <bgColor rgb="FFFED7AA"/>
        </patternFill>
      </fill>
    </dxf>
    <dxf>
      <font>
        <name val="Arial"/>
        <charset val="1"/>
        <family val="0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D9D9D9"/>
      <rgbColor rgb="FF878787"/>
      <rgbColor rgb="FF9999FF"/>
      <rgbColor rgb="FF92400E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0FDFA"/>
      <rgbColor rgb="FFF9F9F9"/>
      <rgbColor rgb="FFFEE2E2"/>
      <rgbColor rgb="FFFCA5A5"/>
      <rgbColor rgb="FFCC99FF"/>
      <rgbColor rgb="FFFED7AA"/>
      <rgbColor rgb="FF4F81BD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Costo ARS por Servicio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Costo ARS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Dashboard!$A$11:$A$16</c:f>
              <c:strCache>
                <c:ptCount val="6"/>
                <c:pt idx="0">
                  <c:v>UTI / Terapia Intensiva</c:v>
                </c:pt>
                <c:pt idx="1">
                  <c:v>Laboratorio del Sueño / EEG</c:v>
                </c:pt>
                <c:pt idx="2">
                  <c:v>Cardiología / Ergometría</c:v>
                </c:pt>
                <c:pt idx="3">
                  <c:v>Consultorios / Emergencias / Quirófano</c:v>
                </c:pt>
                <c:pt idx="4">
                  <c:v>Quirófano</c:v>
                </c:pt>
                <c:pt idx="5">
                  <c:v>UCO</c:v>
                </c:pt>
              </c:strCache>
            </c:strRef>
          </c:cat>
          <c:val>
            <c:numRef>
              <c:f>Dashboard!$D$11:$D$16</c:f>
              <c:numCache>
                <c:formatCode>"$ "#,##0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8872178"/>
        <c:axId val="71725095"/>
      </c:barChart>
      <c:catAx>
        <c:axId val="788721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25095"/>
        <c:crosses val="autoZero"/>
        <c:auto val="1"/>
        <c:lblAlgn val="ctr"/>
        <c:lblOffset val="100"/>
        <c:noMultiLvlLbl val="0"/>
      </c:catAx>
      <c:valAx>
        <c:axId val="71725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721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3.pn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3.pn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11</xdr:col>
      <xdr:colOff>329400</xdr:colOff>
      <xdr:row>25</xdr:row>
      <xdr:rowOff>10440</xdr:rowOff>
    </xdr:to>
    <xdr:graphicFrame>
      <xdr:nvGraphicFramePr>
        <xdr:cNvPr id="1" name="Chart 1"/>
        <xdr:cNvGraphicFramePr/>
      </xdr:nvGraphicFramePr>
      <xdr:xfrm>
        <a:off x="7471440" y="1914480"/>
        <a:ext cx="575856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0</xdr:col>
      <xdr:colOff>712800</xdr:colOff>
      <xdr:row>2</xdr:row>
      <xdr:rowOff>712800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6001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712800</xdr:colOff>
      <xdr:row>3</xdr:row>
      <xdr:rowOff>712800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0" y="14191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712800</xdr:colOff>
      <xdr:row>4</xdr:row>
      <xdr:rowOff>712800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0" y="22384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712800</xdr:colOff>
      <xdr:row>5</xdr:row>
      <xdr:rowOff>712800</xdr:rowOff>
    </xdr:to>
    <xdr:pic>
      <xdr:nvPicPr>
        <xdr:cNvPr id="5" name="Image 4" descr="Picture"/>
        <xdr:cNvPicPr/>
      </xdr:nvPicPr>
      <xdr:blipFill>
        <a:blip r:embed="rId4"/>
        <a:stretch/>
      </xdr:blipFill>
      <xdr:spPr>
        <a:xfrm>
          <a:off x="0" y="30574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712800</xdr:colOff>
      <xdr:row>6</xdr:row>
      <xdr:rowOff>712800</xdr:rowOff>
    </xdr:to>
    <xdr:pic>
      <xdr:nvPicPr>
        <xdr:cNvPr id="6" name="Image 5" descr="Picture"/>
        <xdr:cNvPicPr/>
      </xdr:nvPicPr>
      <xdr:blipFill>
        <a:blip r:embed="rId5"/>
        <a:stretch/>
      </xdr:blipFill>
      <xdr:spPr>
        <a:xfrm>
          <a:off x="0" y="38768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712800</xdr:colOff>
      <xdr:row>7</xdr:row>
      <xdr:rowOff>712800</xdr:rowOff>
    </xdr:to>
    <xdr:pic>
      <xdr:nvPicPr>
        <xdr:cNvPr id="7" name="Image 6" descr="Picture"/>
        <xdr:cNvPicPr/>
      </xdr:nvPicPr>
      <xdr:blipFill>
        <a:blip r:embed="rId6"/>
        <a:stretch/>
      </xdr:blipFill>
      <xdr:spPr>
        <a:xfrm>
          <a:off x="0" y="46958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712800</xdr:colOff>
      <xdr:row>8</xdr:row>
      <xdr:rowOff>712800</xdr:rowOff>
    </xdr:to>
    <xdr:pic>
      <xdr:nvPicPr>
        <xdr:cNvPr id="8" name="Image 7" descr="Picture"/>
        <xdr:cNvPicPr/>
      </xdr:nvPicPr>
      <xdr:blipFill>
        <a:blip r:embed="rId7"/>
        <a:stretch/>
      </xdr:blipFill>
      <xdr:spPr>
        <a:xfrm>
          <a:off x="0" y="55148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712800</xdr:colOff>
      <xdr:row>9</xdr:row>
      <xdr:rowOff>712800</xdr:rowOff>
    </xdr:to>
    <xdr:pic>
      <xdr:nvPicPr>
        <xdr:cNvPr id="9" name="Image 8" descr="Picture"/>
        <xdr:cNvPicPr/>
      </xdr:nvPicPr>
      <xdr:blipFill>
        <a:blip r:embed="rId8"/>
        <a:stretch/>
      </xdr:blipFill>
      <xdr:spPr>
        <a:xfrm>
          <a:off x="0" y="633420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712800</xdr:colOff>
      <xdr:row>10</xdr:row>
      <xdr:rowOff>712800</xdr:rowOff>
    </xdr:to>
    <xdr:pic>
      <xdr:nvPicPr>
        <xdr:cNvPr id="10" name="Image 9" descr="Picture"/>
        <xdr:cNvPicPr/>
      </xdr:nvPicPr>
      <xdr:blipFill>
        <a:blip r:embed="rId9"/>
        <a:stretch/>
      </xdr:blipFill>
      <xdr:spPr>
        <a:xfrm>
          <a:off x="0" y="715320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712800</xdr:colOff>
      <xdr:row>11</xdr:row>
      <xdr:rowOff>712800</xdr:rowOff>
    </xdr:to>
    <xdr:pic>
      <xdr:nvPicPr>
        <xdr:cNvPr id="11" name="Image 10" descr="Picture"/>
        <xdr:cNvPicPr/>
      </xdr:nvPicPr>
      <xdr:blipFill>
        <a:blip r:embed="rId10"/>
        <a:stretch/>
      </xdr:blipFill>
      <xdr:spPr>
        <a:xfrm>
          <a:off x="0" y="79725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712800</xdr:colOff>
      <xdr:row>12</xdr:row>
      <xdr:rowOff>712800</xdr:rowOff>
    </xdr:to>
    <xdr:pic>
      <xdr:nvPicPr>
        <xdr:cNvPr id="12" name="Image 11" descr="Picture"/>
        <xdr:cNvPicPr/>
      </xdr:nvPicPr>
      <xdr:blipFill>
        <a:blip r:embed="rId11"/>
        <a:stretch/>
      </xdr:blipFill>
      <xdr:spPr>
        <a:xfrm>
          <a:off x="0" y="87915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712800</xdr:colOff>
      <xdr:row>13</xdr:row>
      <xdr:rowOff>712800</xdr:rowOff>
    </xdr:to>
    <xdr:pic>
      <xdr:nvPicPr>
        <xdr:cNvPr id="13" name="Image 12" descr="Picture"/>
        <xdr:cNvPicPr/>
      </xdr:nvPicPr>
      <xdr:blipFill>
        <a:blip r:embed="rId12"/>
        <a:stretch/>
      </xdr:blipFill>
      <xdr:spPr>
        <a:xfrm>
          <a:off x="0" y="96105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712800</xdr:colOff>
      <xdr:row>14</xdr:row>
      <xdr:rowOff>712800</xdr:rowOff>
    </xdr:to>
    <xdr:pic>
      <xdr:nvPicPr>
        <xdr:cNvPr id="14" name="Image 13" descr="Picture"/>
        <xdr:cNvPicPr/>
      </xdr:nvPicPr>
      <xdr:blipFill>
        <a:blip r:embed="rId13"/>
        <a:stretch/>
      </xdr:blipFill>
      <xdr:spPr>
        <a:xfrm>
          <a:off x="0" y="104299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712800</xdr:colOff>
      <xdr:row>15</xdr:row>
      <xdr:rowOff>712800</xdr:rowOff>
    </xdr:to>
    <xdr:pic>
      <xdr:nvPicPr>
        <xdr:cNvPr id="15" name="Image 14" descr="Picture"/>
        <xdr:cNvPicPr/>
      </xdr:nvPicPr>
      <xdr:blipFill>
        <a:blip r:embed="rId14"/>
        <a:stretch/>
      </xdr:blipFill>
      <xdr:spPr>
        <a:xfrm>
          <a:off x="0" y="112489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712800</xdr:colOff>
      <xdr:row>16</xdr:row>
      <xdr:rowOff>712800</xdr:rowOff>
    </xdr:to>
    <xdr:pic>
      <xdr:nvPicPr>
        <xdr:cNvPr id="16" name="Image 15" descr="Picture"/>
        <xdr:cNvPicPr/>
      </xdr:nvPicPr>
      <xdr:blipFill>
        <a:blip r:embed="rId15"/>
        <a:stretch/>
      </xdr:blipFill>
      <xdr:spPr>
        <a:xfrm>
          <a:off x="0" y="120682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712800</xdr:colOff>
      <xdr:row>17</xdr:row>
      <xdr:rowOff>712800</xdr:rowOff>
    </xdr:to>
    <xdr:pic>
      <xdr:nvPicPr>
        <xdr:cNvPr id="17" name="Image 16" descr="Picture"/>
        <xdr:cNvPicPr/>
      </xdr:nvPicPr>
      <xdr:blipFill>
        <a:blip r:embed="rId16"/>
        <a:stretch/>
      </xdr:blipFill>
      <xdr:spPr>
        <a:xfrm>
          <a:off x="0" y="128872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712800</xdr:colOff>
      <xdr:row>18</xdr:row>
      <xdr:rowOff>712800</xdr:rowOff>
    </xdr:to>
    <xdr:pic>
      <xdr:nvPicPr>
        <xdr:cNvPr id="18" name="Image 17" descr="Picture"/>
        <xdr:cNvPicPr/>
      </xdr:nvPicPr>
      <xdr:blipFill>
        <a:blip r:embed="rId17"/>
        <a:stretch/>
      </xdr:blipFill>
      <xdr:spPr>
        <a:xfrm>
          <a:off x="0" y="137066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712800</xdr:colOff>
      <xdr:row>19</xdr:row>
      <xdr:rowOff>712800</xdr:rowOff>
    </xdr:to>
    <xdr:pic>
      <xdr:nvPicPr>
        <xdr:cNvPr id="19" name="Image 18" descr="Picture"/>
        <xdr:cNvPicPr/>
      </xdr:nvPicPr>
      <xdr:blipFill>
        <a:blip r:embed="rId18"/>
        <a:stretch/>
      </xdr:blipFill>
      <xdr:spPr>
        <a:xfrm>
          <a:off x="0" y="145256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712800</xdr:colOff>
      <xdr:row>20</xdr:row>
      <xdr:rowOff>712800</xdr:rowOff>
    </xdr:to>
    <xdr:pic>
      <xdr:nvPicPr>
        <xdr:cNvPr id="20" name="Image 19" descr="Picture"/>
        <xdr:cNvPicPr/>
      </xdr:nvPicPr>
      <xdr:blipFill>
        <a:blip r:embed="rId19"/>
        <a:stretch/>
      </xdr:blipFill>
      <xdr:spPr>
        <a:xfrm>
          <a:off x="0" y="1534464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712800</xdr:colOff>
      <xdr:row>21</xdr:row>
      <xdr:rowOff>712800</xdr:rowOff>
    </xdr:to>
    <xdr:pic>
      <xdr:nvPicPr>
        <xdr:cNvPr id="21" name="Image 20" descr="Picture"/>
        <xdr:cNvPicPr/>
      </xdr:nvPicPr>
      <xdr:blipFill>
        <a:blip r:embed="rId20"/>
        <a:stretch/>
      </xdr:blipFill>
      <xdr:spPr>
        <a:xfrm>
          <a:off x="0" y="1616400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712800</xdr:colOff>
      <xdr:row>22</xdr:row>
      <xdr:rowOff>712800</xdr:rowOff>
    </xdr:to>
    <xdr:pic>
      <xdr:nvPicPr>
        <xdr:cNvPr id="22" name="Image 21" descr="Picture"/>
        <xdr:cNvPicPr/>
      </xdr:nvPicPr>
      <xdr:blipFill>
        <a:blip r:embed="rId21"/>
        <a:stretch/>
      </xdr:blipFill>
      <xdr:spPr>
        <a:xfrm>
          <a:off x="0" y="1698300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712800</xdr:colOff>
      <xdr:row>23</xdr:row>
      <xdr:rowOff>712800</xdr:rowOff>
    </xdr:to>
    <xdr:pic>
      <xdr:nvPicPr>
        <xdr:cNvPr id="23" name="Image 22" descr="Picture"/>
        <xdr:cNvPicPr/>
      </xdr:nvPicPr>
      <xdr:blipFill>
        <a:blip r:embed="rId22"/>
        <a:stretch/>
      </xdr:blipFill>
      <xdr:spPr>
        <a:xfrm>
          <a:off x="0" y="178023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712800</xdr:colOff>
      <xdr:row>24</xdr:row>
      <xdr:rowOff>712800</xdr:rowOff>
    </xdr:to>
    <xdr:pic>
      <xdr:nvPicPr>
        <xdr:cNvPr id="24" name="Image 23" descr="Picture"/>
        <xdr:cNvPicPr/>
      </xdr:nvPicPr>
      <xdr:blipFill>
        <a:blip r:embed="rId23"/>
        <a:stretch/>
      </xdr:blipFill>
      <xdr:spPr>
        <a:xfrm>
          <a:off x="0" y="186213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712800</xdr:colOff>
      <xdr:row>25</xdr:row>
      <xdr:rowOff>712800</xdr:rowOff>
    </xdr:to>
    <xdr:pic>
      <xdr:nvPicPr>
        <xdr:cNvPr id="25" name="Image 24" descr="Picture"/>
        <xdr:cNvPicPr/>
      </xdr:nvPicPr>
      <xdr:blipFill>
        <a:blip r:embed="rId24"/>
        <a:stretch/>
      </xdr:blipFill>
      <xdr:spPr>
        <a:xfrm>
          <a:off x="0" y="1944036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712800</xdr:colOff>
      <xdr:row>26</xdr:row>
      <xdr:rowOff>712800</xdr:rowOff>
    </xdr:to>
    <xdr:pic>
      <xdr:nvPicPr>
        <xdr:cNvPr id="26" name="Image 25" descr="Picture"/>
        <xdr:cNvPicPr/>
      </xdr:nvPicPr>
      <xdr:blipFill>
        <a:blip r:embed="rId25"/>
        <a:stretch/>
      </xdr:blipFill>
      <xdr:spPr>
        <a:xfrm>
          <a:off x="0" y="202597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712800</xdr:colOff>
      <xdr:row>27</xdr:row>
      <xdr:rowOff>712800</xdr:rowOff>
    </xdr:to>
    <xdr:pic>
      <xdr:nvPicPr>
        <xdr:cNvPr id="27" name="Image 26" descr="Picture"/>
        <xdr:cNvPicPr/>
      </xdr:nvPicPr>
      <xdr:blipFill>
        <a:blip r:embed="rId26"/>
        <a:stretch/>
      </xdr:blipFill>
      <xdr:spPr>
        <a:xfrm>
          <a:off x="0" y="2107872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712800</xdr:colOff>
      <xdr:row>28</xdr:row>
      <xdr:rowOff>712800</xdr:rowOff>
    </xdr:to>
    <xdr:pic>
      <xdr:nvPicPr>
        <xdr:cNvPr id="28" name="Image 27" descr="Picture"/>
        <xdr:cNvPicPr/>
      </xdr:nvPicPr>
      <xdr:blipFill>
        <a:blip r:embed="rId27"/>
        <a:stretch/>
      </xdr:blipFill>
      <xdr:spPr>
        <a:xfrm>
          <a:off x="0" y="218980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712800</xdr:colOff>
      <xdr:row>29</xdr:row>
      <xdr:rowOff>712800</xdr:rowOff>
    </xdr:to>
    <xdr:pic>
      <xdr:nvPicPr>
        <xdr:cNvPr id="29" name="Image 28" descr="Picture"/>
        <xdr:cNvPicPr/>
      </xdr:nvPicPr>
      <xdr:blipFill>
        <a:blip r:embed="rId28"/>
        <a:stretch/>
      </xdr:blipFill>
      <xdr:spPr>
        <a:xfrm>
          <a:off x="0" y="22717080"/>
          <a:ext cx="712800" cy="71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0</xdr:col>
      <xdr:colOff>617760</xdr:colOff>
      <xdr:row>3</xdr:row>
      <xdr:rowOff>617760</xdr:rowOff>
    </xdr:to>
    <xdr:pic>
      <xdr:nvPicPr>
        <xdr:cNvPr id="30" name="Image 1" descr="Picture"/>
        <xdr:cNvPicPr/>
      </xdr:nvPicPr>
      <xdr:blipFill>
        <a:blip r:embed="rId1"/>
        <a:stretch/>
      </xdr:blipFill>
      <xdr:spPr>
        <a:xfrm>
          <a:off x="0" y="762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617760</xdr:colOff>
      <xdr:row>4</xdr:row>
      <xdr:rowOff>617760</xdr:rowOff>
    </xdr:to>
    <xdr:pic>
      <xdr:nvPicPr>
        <xdr:cNvPr id="31" name="Image 2" descr="Picture"/>
        <xdr:cNvPicPr/>
      </xdr:nvPicPr>
      <xdr:blipFill>
        <a:blip r:embed="rId2"/>
        <a:stretch/>
      </xdr:blipFill>
      <xdr:spPr>
        <a:xfrm>
          <a:off x="0" y="1523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617760</xdr:colOff>
      <xdr:row>5</xdr:row>
      <xdr:rowOff>617760</xdr:rowOff>
    </xdr:to>
    <xdr:pic>
      <xdr:nvPicPr>
        <xdr:cNvPr id="32" name="Image 3" descr="Picture"/>
        <xdr:cNvPicPr/>
      </xdr:nvPicPr>
      <xdr:blipFill>
        <a:blip r:embed="rId3"/>
        <a:stretch/>
      </xdr:blipFill>
      <xdr:spPr>
        <a:xfrm>
          <a:off x="0" y="2286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617760</xdr:colOff>
      <xdr:row>6</xdr:row>
      <xdr:rowOff>617760</xdr:rowOff>
    </xdr:to>
    <xdr:pic>
      <xdr:nvPicPr>
        <xdr:cNvPr id="33" name="Image 4" descr="Picture"/>
        <xdr:cNvPicPr/>
      </xdr:nvPicPr>
      <xdr:blipFill>
        <a:blip r:embed="rId4"/>
        <a:stretch/>
      </xdr:blipFill>
      <xdr:spPr>
        <a:xfrm>
          <a:off x="0" y="3048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617760</xdr:colOff>
      <xdr:row>7</xdr:row>
      <xdr:rowOff>617760</xdr:rowOff>
    </xdr:to>
    <xdr:pic>
      <xdr:nvPicPr>
        <xdr:cNvPr id="34" name="Image 5" descr="Picture"/>
        <xdr:cNvPicPr/>
      </xdr:nvPicPr>
      <xdr:blipFill>
        <a:blip r:embed="rId5"/>
        <a:stretch/>
      </xdr:blipFill>
      <xdr:spPr>
        <a:xfrm>
          <a:off x="0" y="3809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617760</xdr:colOff>
      <xdr:row>8</xdr:row>
      <xdr:rowOff>617760</xdr:rowOff>
    </xdr:to>
    <xdr:pic>
      <xdr:nvPicPr>
        <xdr:cNvPr id="35" name="Image 6" descr="Picture"/>
        <xdr:cNvPicPr/>
      </xdr:nvPicPr>
      <xdr:blipFill>
        <a:blip r:embed="rId6"/>
        <a:stretch/>
      </xdr:blipFill>
      <xdr:spPr>
        <a:xfrm>
          <a:off x="0" y="4572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617760</xdr:colOff>
      <xdr:row>9</xdr:row>
      <xdr:rowOff>617760</xdr:rowOff>
    </xdr:to>
    <xdr:pic>
      <xdr:nvPicPr>
        <xdr:cNvPr id="36" name="Image 7" descr="Picture"/>
        <xdr:cNvPicPr/>
      </xdr:nvPicPr>
      <xdr:blipFill>
        <a:blip r:embed="rId7"/>
        <a:stretch/>
      </xdr:blipFill>
      <xdr:spPr>
        <a:xfrm>
          <a:off x="0" y="5334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617760</xdr:colOff>
      <xdr:row>10</xdr:row>
      <xdr:rowOff>617760</xdr:rowOff>
    </xdr:to>
    <xdr:pic>
      <xdr:nvPicPr>
        <xdr:cNvPr id="37" name="Image 8" descr="Picture"/>
        <xdr:cNvPicPr/>
      </xdr:nvPicPr>
      <xdr:blipFill>
        <a:blip r:embed="rId8"/>
        <a:stretch/>
      </xdr:blipFill>
      <xdr:spPr>
        <a:xfrm>
          <a:off x="0" y="6095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617760</xdr:colOff>
      <xdr:row>11</xdr:row>
      <xdr:rowOff>617760</xdr:rowOff>
    </xdr:to>
    <xdr:pic>
      <xdr:nvPicPr>
        <xdr:cNvPr id="38" name="Image 9" descr="Picture"/>
        <xdr:cNvPicPr/>
      </xdr:nvPicPr>
      <xdr:blipFill>
        <a:blip r:embed="rId9"/>
        <a:stretch/>
      </xdr:blipFill>
      <xdr:spPr>
        <a:xfrm>
          <a:off x="0" y="6858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617760</xdr:colOff>
      <xdr:row>12</xdr:row>
      <xdr:rowOff>617760</xdr:rowOff>
    </xdr:to>
    <xdr:pic>
      <xdr:nvPicPr>
        <xdr:cNvPr id="39" name="Image 10" descr="Picture"/>
        <xdr:cNvPicPr/>
      </xdr:nvPicPr>
      <xdr:blipFill>
        <a:blip r:embed="rId10"/>
        <a:stretch/>
      </xdr:blipFill>
      <xdr:spPr>
        <a:xfrm>
          <a:off x="0" y="7620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617760</xdr:colOff>
      <xdr:row>13</xdr:row>
      <xdr:rowOff>617760</xdr:rowOff>
    </xdr:to>
    <xdr:pic>
      <xdr:nvPicPr>
        <xdr:cNvPr id="40" name="Image 11" descr="Picture"/>
        <xdr:cNvPicPr/>
      </xdr:nvPicPr>
      <xdr:blipFill>
        <a:blip r:embed="rId11"/>
        <a:stretch/>
      </xdr:blipFill>
      <xdr:spPr>
        <a:xfrm>
          <a:off x="0" y="8381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617760</xdr:colOff>
      <xdr:row>14</xdr:row>
      <xdr:rowOff>617760</xdr:rowOff>
    </xdr:to>
    <xdr:pic>
      <xdr:nvPicPr>
        <xdr:cNvPr id="41" name="Image 12" descr="Picture"/>
        <xdr:cNvPicPr/>
      </xdr:nvPicPr>
      <xdr:blipFill>
        <a:blip r:embed="rId12"/>
        <a:stretch/>
      </xdr:blipFill>
      <xdr:spPr>
        <a:xfrm>
          <a:off x="0" y="9144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617760</xdr:colOff>
      <xdr:row>15</xdr:row>
      <xdr:rowOff>617760</xdr:rowOff>
    </xdr:to>
    <xdr:pic>
      <xdr:nvPicPr>
        <xdr:cNvPr id="42" name="Image 13" descr="Picture"/>
        <xdr:cNvPicPr/>
      </xdr:nvPicPr>
      <xdr:blipFill>
        <a:blip r:embed="rId13"/>
        <a:stretch/>
      </xdr:blipFill>
      <xdr:spPr>
        <a:xfrm>
          <a:off x="0" y="9906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617760</xdr:colOff>
      <xdr:row>16</xdr:row>
      <xdr:rowOff>617760</xdr:rowOff>
    </xdr:to>
    <xdr:pic>
      <xdr:nvPicPr>
        <xdr:cNvPr id="43" name="Image 14" descr="Picture"/>
        <xdr:cNvPicPr/>
      </xdr:nvPicPr>
      <xdr:blipFill>
        <a:blip r:embed="rId14"/>
        <a:stretch/>
      </xdr:blipFill>
      <xdr:spPr>
        <a:xfrm>
          <a:off x="0" y="10667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617760</xdr:colOff>
      <xdr:row>17</xdr:row>
      <xdr:rowOff>617760</xdr:rowOff>
    </xdr:to>
    <xdr:pic>
      <xdr:nvPicPr>
        <xdr:cNvPr id="44" name="Image 15" descr="Picture"/>
        <xdr:cNvPicPr/>
      </xdr:nvPicPr>
      <xdr:blipFill>
        <a:blip r:embed="rId15"/>
        <a:stretch/>
      </xdr:blipFill>
      <xdr:spPr>
        <a:xfrm>
          <a:off x="0" y="11430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617760</xdr:colOff>
      <xdr:row>18</xdr:row>
      <xdr:rowOff>617760</xdr:rowOff>
    </xdr:to>
    <xdr:pic>
      <xdr:nvPicPr>
        <xdr:cNvPr id="45" name="Image 16" descr="Picture"/>
        <xdr:cNvPicPr/>
      </xdr:nvPicPr>
      <xdr:blipFill>
        <a:blip r:embed="rId16"/>
        <a:stretch/>
      </xdr:blipFill>
      <xdr:spPr>
        <a:xfrm>
          <a:off x="0" y="12192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617760</xdr:colOff>
      <xdr:row>19</xdr:row>
      <xdr:rowOff>617760</xdr:rowOff>
    </xdr:to>
    <xdr:pic>
      <xdr:nvPicPr>
        <xdr:cNvPr id="46" name="Image 17" descr="Picture"/>
        <xdr:cNvPicPr/>
      </xdr:nvPicPr>
      <xdr:blipFill>
        <a:blip r:embed="rId17"/>
        <a:stretch/>
      </xdr:blipFill>
      <xdr:spPr>
        <a:xfrm>
          <a:off x="0" y="12953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617760</xdr:colOff>
      <xdr:row>20</xdr:row>
      <xdr:rowOff>617760</xdr:rowOff>
    </xdr:to>
    <xdr:pic>
      <xdr:nvPicPr>
        <xdr:cNvPr id="47" name="Image 18" descr="Picture"/>
        <xdr:cNvPicPr/>
      </xdr:nvPicPr>
      <xdr:blipFill>
        <a:blip r:embed="rId18"/>
        <a:stretch/>
      </xdr:blipFill>
      <xdr:spPr>
        <a:xfrm>
          <a:off x="0" y="13716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617760</xdr:colOff>
      <xdr:row>21</xdr:row>
      <xdr:rowOff>617760</xdr:rowOff>
    </xdr:to>
    <xdr:pic>
      <xdr:nvPicPr>
        <xdr:cNvPr id="48" name="Image 19" descr="Picture"/>
        <xdr:cNvPicPr/>
      </xdr:nvPicPr>
      <xdr:blipFill>
        <a:blip r:embed="rId19"/>
        <a:stretch/>
      </xdr:blipFill>
      <xdr:spPr>
        <a:xfrm>
          <a:off x="0" y="14478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617760</xdr:colOff>
      <xdr:row>22</xdr:row>
      <xdr:rowOff>617760</xdr:rowOff>
    </xdr:to>
    <xdr:pic>
      <xdr:nvPicPr>
        <xdr:cNvPr id="49" name="Image 20" descr="Picture"/>
        <xdr:cNvPicPr/>
      </xdr:nvPicPr>
      <xdr:blipFill>
        <a:blip r:embed="rId20"/>
        <a:stretch/>
      </xdr:blipFill>
      <xdr:spPr>
        <a:xfrm>
          <a:off x="0" y="15239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617760</xdr:colOff>
      <xdr:row>23</xdr:row>
      <xdr:rowOff>617760</xdr:rowOff>
    </xdr:to>
    <xdr:pic>
      <xdr:nvPicPr>
        <xdr:cNvPr id="50" name="Image 21" descr="Picture"/>
        <xdr:cNvPicPr/>
      </xdr:nvPicPr>
      <xdr:blipFill>
        <a:blip r:embed="rId21"/>
        <a:stretch/>
      </xdr:blipFill>
      <xdr:spPr>
        <a:xfrm>
          <a:off x="0" y="16002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617760</xdr:colOff>
      <xdr:row>24</xdr:row>
      <xdr:rowOff>617760</xdr:rowOff>
    </xdr:to>
    <xdr:pic>
      <xdr:nvPicPr>
        <xdr:cNvPr id="51" name="Image 22" descr="Picture"/>
        <xdr:cNvPicPr/>
      </xdr:nvPicPr>
      <xdr:blipFill>
        <a:blip r:embed="rId22"/>
        <a:stretch/>
      </xdr:blipFill>
      <xdr:spPr>
        <a:xfrm>
          <a:off x="0" y="16764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617760</xdr:colOff>
      <xdr:row>25</xdr:row>
      <xdr:rowOff>617760</xdr:rowOff>
    </xdr:to>
    <xdr:pic>
      <xdr:nvPicPr>
        <xdr:cNvPr id="52" name="Image 23" descr="Picture"/>
        <xdr:cNvPicPr/>
      </xdr:nvPicPr>
      <xdr:blipFill>
        <a:blip r:embed="rId23"/>
        <a:stretch/>
      </xdr:blipFill>
      <xdr:spPr>
        <a:xfrm>
          <a:off x="0" y="17525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617760</xdr:colOff>
      <xdr:row>26</xdr:row>
      <xdr:rowOff>617760</xdr:rowOff>
    </xdr:to>
    <xdr:pic>
      <xdr:nvPicPr>
        <xdr:cNvPr id="53" name="Image 24" descr="Picture"/>
        <xdr:cNvPicPr/>
      </xdr:nvPicPr>
      <xdr:blipFill>
        <a:blip r:embed="rId24"/>
        <a:stretch/>
      </xdr:blipFill>
      <xdr:spPr>
        <a:xfrm>
          <a:off x="0" y="18288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617760</xdr:colOff>
      <xdr:row>27</xdr:row>
      <xdr:rowOff>617760</xdr:rowOff>
    </xdr:to>
    <xdr:pic>
      <xdr:nvPicPr>
        <xdr:cNvPr id="54" name="Image 25" descr="Picture"/>
        <xdr:cNvPicPr/>
      </xdr:nvPicPr>
      <xdr:blipFill>
        <a:blip r:embed="rId25"/>
        <a:stretch/>
      </xdr:blipFill>
      <xdr:spPr>
        <a:xfrm>
          <a:off x="0" y="19050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617760</xdr:colOff>
      <xdr:row>28</xdr:row>
      <xdr:rowOff>617760</xdr:rowOff>
    </xdr:to>
    <xdr:pic>
      <xdr:nvPicPr>
        <xdr:cNvPr id="55" name="Image 26" descr="Picture"/>
        <xdr:cNvPicPr/>
      </xdr:nvPicPr>
      <xdr:blipFill>
        <a:blip r:embed="rId26"/>
        <a:stretch/>
      </xdr:blipFill>
      <xdr:spPr>
        <a:xfrm>
          <a:off x="0" y="1981188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617760</xdr:colOff>
      <xdr:row>29</xdr:row>
      <xdr:rowOff>617760</xdr:rowOff>
    </xdr:to>
    <xdr:pic>
      <xdr:nvPicPr>
        <xdr:cNvPr id="56" name="Image 27" descr="Picture"/>
        <xdr:cNvPicPr/>
      </xdr:nvPicPr>
      <xdr:blipFill>
        <a:blip r:embed="rId27"/>
        <a:stretch/>
      </xdr:blipFill>
      <xdr:spPr>
        <a:xfrm>
          <a:off x="0" y="2057400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617760</xdr:colOff>
      <xdr:row>30</xdr:row>
      <xdr:rowOff>617760</xdr:rowOff>
    </xdr:to>
    <xdr:pic>
      <xdr:nvPicPr>
        <xdr:cNvPr id="57" name="Image 28" descr="Picture"/>
        <xdr:cNvPicPr/>
      </xdr:nvPicPr>
      <xdr:blipFill>
        <a:blip r:embed="rId28"/>
        <a:stretch/>
      </xdr:blipFill>
      <xdr:spPr>
        <a:xfrm>
          <a:off x="0" y="21336120"/>
          <a:ext cx="617760" cy="61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onmil.com.ar/es/store/" TargetMode="External"/><Relationship Id="rId2" Type="http://schemas.openxmlformats.org/officeDocument/2006/relationships/hyperlink" Target="https://conmil.com.ar/es/store/" TargetMode="External"/><Relationship Id="rId3" Type="http://schemas.openxmlformats.org/officeDocument/2006/relationships/hyperlink" Target="https://www.mercadolibre.com.ar/brazal-universal-para-tensiometro-digital-microlife-2242-cm/up/MLAU383417813?pdp_filters=item_id:MLA1803242736" TargetMode="External"/><Relationship Id="rId4" Type="http://schemas.openxmlformats.org/officeDocument/2006/relationships/hyperlink" Target="https://www.mercadolibre.com.ar/brazal-mango-obeso-32-a-52-cm-tensiometro-digital-microlife/up/MLAU307445902" TargetMode="External"/><Relationship Id="rId5" Type="http://schemas.openxmlformats.org/officeDocument/2006/relationships/hyperlink" Target="https://conmil.com.ar/es/producto/cable-paciente-ecg---clip" TargetMode="External"/><Relationship Id="rId6" Type="http://schemas.openxmlformats.org/officeDocument/2006/relationships/hyperlink" Target="https://conmil.com.ar/es/store/" TargetMode="External"/><Relationship Id="rId7" Type="http://schemas.openxmlformats.org/officeDocument/2006/relationships/hyperlink" Target="https://conmil.com.ar/es/store/" TargetMode="External"/><Relationship Id="rId8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42" hidden="false" customHeight="true" outlineLevel="0" collapsed="false">
      <c r="A3" s="3"/>
      <c r="B3" s="4"/>
      <c r="C3" s="4"/>
      <c r="D3" s="4"/>
      <c r="E3" s="4"/>
      <c r="F3" s="4"/>
    </row>
    <row r="4" customFormat="false" ht="42" hidden="false" customHeight="true" outlineLevel="0" collapsed="false">
      <c r="A4" s="3" t="s">
        <v>1</v>
      </c>
      <c r="B4" s="4" t="s">
        <v>2</v>
      </c>
      <c r="C4" s="4"/>
      <c r="D4" s="4"/>
      <c r="E4" s="4"/>
      <c r="F4" s="4"/>
    </row>
    <row r="5" customFormat="false" ht="42" hidden="false" customHeight="true" outlineLevel="0" collapsed="false">
      <c r="A5" s="3" t="s">
        <v>3</v>
      </c>
      <c r="B5" s="4" t="s">
        <v>4</v>
      </c>
      <c r="C5" s="4"/>
      <c r="D5" s="4"/>
      <c r="E5" s="4"/>
      <c r="F5" s="4"/>
    </row>
    <row r="6" customFormat="false" ht="42" hidden="false" customHeight="true" outlineLevel="0" collapsed="false">
      <c r="A6" s="3" t="s">
        <v>5</v>
      </c>
      <c r="B6" s="4" t="s">
        <v>6</v>
      </c>
      <c r="C6" s="4"/>
      <c r="D6" s="4"/>
      <c r="E6" s="4"/>
      <c r="F6" s="4"/>
    </row>
    <row r="7" customFormat="false" ht="42" hidden="false" customHeight="true" outlineLevel="0" collapsed="false">
      <c r="A7" s="3" t="s">
        <v>7</v>
      </c>
      <c r="B7" s="4" t="s">
        <v>8</v>
      </c>
      <c r="C7" s="4"/>
      <c r="D7" s="4"/>
      <c r="E7" s="4"/>
      <c r="F7" s="4"/>
    </row>
    <row r="8" customFormat="false" ht="42" hidden="false" customHeight="true" outlineLevel="0" collapsed="false">
      <c r="A8" s="3" t="s">
        <v>9</v>
      </c>
      <c r="B8" s="4" t="s">
        <v>10</v>
      </c>
      <c r="C8" s="4"/>
      <c r="D8" s="4"/>
      <c r="E8" s="4"/>
      <c r="F8" s="4"/>
    </row>
    <row r="9" customFormat="false" ht="42" hidden="false" customHeight="true" outlineLevel="0" collapsed="false">
      <c r="A9" s="3"/>
      <c r="B9" s="4"/>
      <c r="C9" s="4"/>
      <c r="D9" s="4"/>
      <c r="E9" s="4"/>
      <c r="F9" s="4"/>
    </row>
    <row r="10" customFormat="false" ht="42" hidden="false" customHeight="true" outlineLevel="0" collapsed="false">
      <c r="A10" s="3" t="s">
        <v>11</v>
      </c>
      <c r="B10" s="4" t="s">
        <v>12</v>
      </c>
      <c r="C10" s="4"/>
      <c r="D10" s="4"/>
      <c r="E10" s="4"/>
      <c r="F10" s="4"/>
    </row>
    <row r="11" customFormat="false" ht="42" hidden="false" customHeight="true" outlineLevel="0" collapsed="false">
      <c r="A11" s="3" t="s">
        <v>13</v>
      </c>
      <c r="B11" s="4" t="s">
        <v>14</v>
      </c>
      <c r="C11" s="4"/>
      <c r="D11" s="4"/>
      <c r="E11" s="4"/>
      <c r="F11" s="4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7"/>
  </cols>
  <sheetData>
    <row r="1" customFormat="false" ht="21.75" hidden="false" customHeight="true" outlineLevel="0" collapsed="false">
      <c r="A1" s="5" t="s">
        <v>15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6" t="s">
        <v>16</v>
      </c>
      <c r="B2" s="6"/>
      <c r="C2" s="6"/>
      <c r="D2" s="6"/>
      <c r="E2" s="6"/>
      <c r="F2" s="6"/>
      <c r="G2" s="6"/>
      <c r="H2" s="6"/>
    </row>
    <row r="4" customFormat="false" ht="15" hidden="false" customHeight="true" outlineLevel="0" collapsed="false">
      <c r="B4" s="7" t="s">
        <v>17</v>
      </c>
      <c r="C4" s="7"/>
      <c r="D4" s="7" t="s">
        <v>18</v>
      </c>
      <c r="E4" s="7"/>
      <c r="F4" s="7" t="s">
        <v>19</v>
      </c>
      <c r="G4" s="7"/>
      <c r="H4" s="7" t="s">
        <v>20</v>
      </c>
      <c r="I4" s="7"/>
    </row>
    <row r="5" customFormat="false" ht="21.75" hidden="false" customHeight="true" outlineLevel="0" collapsed="false">
      <c r="B5" s="8" t="n">
        <f aca="false">COUNTA(Stock!B3:B200)</f>
        <v>28</v>
      </c>
      <c r="C5" s="8"/>
      <c r="D5" s="8" t="n">
        <f aca="false">SUMPRODUCT((Stock!B3:B200&lt;&gt;"")*(Stock!C3:C200&lt;(Stock!H3:H200*Config!B3/100)))</f>
        <v>0</v>
      </c>
      <c r="E5" s="8"/>
      <c r="F5" s="9" t="n">
        <f aca="false">SUMPRODUCT((Stock!B3:B200&lt;&gt;"")*Stock!C3:C200*Stock!M3:M200)</f>
        <v>14580452.88</v>
      </c>
      <c r="G5" s="9"/>
      <c r="H5" s="10" t="n">
        <f aca="false">SUMPRODUCT((Stock!B3:B200&lt;&gt;"")*Stock!C3:C200*Stock!N3:N200)</f>
        <v>0</v>
      </c>
      <c r="I5" s="10"/>
    </row>
    <row r="8" customFormat="false" ht="17.25" hidden="false" customHeight="true" outlineLevel="0" collapsed="false">
      <c r="A8" s="11" t="s">
        <v>21</v>
      </c>
      <c r="B8" s="11"/>
      <c r="C8" s="11"/>
      <c r="D8" s="11"/>
      <c r="E8" s="11"/>
      <c r="F8" s="11"/>
      <c r="G8" s="11"/>
      <c r="H8" s="11"/>
    </row>
    <row r="10" customFormat="false" ht="26.25" hidden="false" customHeight="true" outlineLevel="0" collapsed="false">
      <c r="A10" s="12" t="s">
        <v>22</v>
      </c>
      <c r="B10" s="12" t="s">
        <v>23</v>
      </c>
      <c r="C10" s="12" t="s">
        <v>24</v>
      </c>
      <c r="D10" s="12" t="s">
        <v>25</v>
      </c>
    </row>
    <row r="11" customFormat="false" ht="15" hidden="false" customHeight="true" outlineLevel="0" collapsed="false">
      <c r="A11" s="13" t="s">
        <v>26</v>
      </c>
      <c r="B11" s="13" t="n">
        <f aca="false">SUMIFS(Movimientos!E:E,Movimientos!B:B,"OUT",Movimientos!F:F,A11)</f>
        <v>0</v>
      </c>
      <c r="C11" s="14" t="n">
        <f aca="false">SUMPRODUCT((Movimientos!B3:B1000="OUT")*(Movimientos!F3:F1000=A11)*(Movimientos!I3:I1000))</f>
        <v>0</v>
      </c>
      <c r="D11" s="15" t="n">
        <f aca="false">SUMPRODUCT((Movimientos!B3:B1000="OUT")*(Movimientos!F3:F1000=A11)*(Movimientos!J3:J1000))</f>
        <v>0</v>
      </c>
    </row>
    <row r="12" customFormat="false" ht="15" hidden="false" customHeight="true" outlineLevel="0" collapsed="false">
      <c r="A12" s="16" t="s">
        <v>27</v>
      </c>
      <c r="B12" s="16" t="n">
        <f aca="false">SUMIFS(Movimientos!E:E,Movimientos!B:B,"OUT",Movimientos!F:F,A12)</f>
        <v>0</v>
      </c>
      <c r="C12" s="17" t="n">
        <f aca="false">SUMPRODUCT((Movimientos!B3:B1000="OUT")*(Movimientos!F3:F1000=A12)*(Movimientos!I3:I1000))</f>
        <v>0</v>
      </c>
      <c r="D12" s="18" t="n">
        <f aca="false">SUMPRODUCT((Movimientos!B3:B1000="OUT")*(Movimientos!F3:F1000=A12)*(Movimientos!J3:J1000))</f>
        <v>0</v>
      </c>
    </row>
    <row r="13" customFormat="false" ht="15" hidden="false" customHeight="true" outlineLevel="0" collapsed="false">
      <c r="A13" s="13" t="s">
        <v>28</v>
      </c>
      <c r="B13" s="13" t="n">
        <f aca="false">SUMIFS(Movimientos!E:E,Movimientos!B:B,"OUT",Movimientos!F:F,A13)</f>
        <v>0</v>
      </c>
      <c r="C13" s="14" t="n">
        <f aca="false">SUMPRODUCT((Movimientos!B3:B1000="OUT")*(Movimientos!F3:F1000=A13)*(Movimientos!I3:I1000))</f>
        <v>0</v>
      </c>
      <c r="D13" s="15" t="n">
        <f aca="false">SUMPRODUCT((Movimientos!B3:B1000="OUT")*(Movimientos!F3:F1000=A13)*(Movimientos!J3:J1000))</f>
        <v>0</v>
      </c>
    </row>
    <row r="14" customFormat="false" ht="15" hidden="false" customHeight="true" outlineLevel="0" collapsed="false">
      <c r="A14" s="16" t="s">
        <v>29</v>
      </c>
      <c r="B14" s="16" t="n">
        <f aca="false">SUMIFS(Movimientos!E:E,Movimientos!B:B,"OUT",Movimientos!F:F,A14)</f>
        <v>0</v>
      </c>
      <c r="C14" s="17" t="n">
        <f aca="false">SUMPRODUCT((Movimientos!B3:B1000="OUT")*(Movimientos!F3:F1000=A14)*(Movimientos!I3:I1000))</f>
        <v>0</v>
      </c>
      <c r="D14" s="18" t="n">
        <f aca="false">SUMPRODUCT((Movimientos!B3:B1000="OUT")*(Movimientos!F3:F1000=A14)*(Movimientos!J3:J1000))</f>
        <v>0</v>
      </c>
    </row>
    <row r="15" customFormat="false" ht="15" hidden="false" customHeight="true" outlineLevel="0" collapsed="false">
      <c r="A15" s="13" t="s">
        <v>30</v>
      </c>
      <c r="B15" s="13" t="n">
        <f aca="false">SUMIFS(Movimientos!E:E,Movimientos!B:B,"OUT",Movimientos!F:F,A15)</f>
        <v>0</v>
      </c>
      <c r="C15" s="14" t="n">
        <f aca="false">SUMPRODUCT((Movimientos!B3:B1000="OUT")*(Movimientos!F3:F1000=A15)*(Movimientos!I3:I1000))</f>
        <v>0</v>
      </c>
      <c r="D15" s="15" t="n">
        <f aca="false">SUMPRODUCT((Movimientos!B3:B1000="OUT")*(Movimientos!F3:F1000=A15)*(Movimientos!J3:J1000))</f>
        <v>0</v>
      </c>
    </row>
    <row r="16" customFormat="false" ht="15" hidden="false" customHeight="true" outlineLevel="0" collapsed="false">
      <c r="A16" s="16" t="s">
        <v>31</v>
      </c>
      <c r="B16" s="16" t="n">
        <f aca="false">SUMIFS(Movimientos!E:E,Movimientos!B:B,"OUT",Movimientos!F:F,A16)</f>
        <v>0</v>
      </c>
      <c r="C16" s="17" t="n">
        <f aca="false">SUMPRODUCT((Movimientos!B3:B1000="OUT")*(Movimientos!F3:F1000=A16)*(Movimientos!I3:I1000))</f>
        <v>0</v>
      </c>
      <c r="D16" s="18" t="n">
        <f aca="false">SUMPRODUCT((Movimientos!B3:B1000="OUT")*(Movimientos!F3:F1000=A16)*(Movimientos!J3:J1000))</f>
        <v>0</v>
      </c>
    </row>
    <row r="17" customFormat="false" ht="15" hidden="false" customHeight="true" outlineLevel="0" collapsed="false">
      <c r="A17" s="19" t="s">
        <v>32</v>
      </c>
      <c r="B17" s="19" t="n">
        <f aca="false">SUM(B11:B16)</f>
        <v>0</v>
      </c>
      <c r="C17" s="20" t="n">
        <f aca="false">SUM(C11:C16)</f>
        <v>0</v>
      </c>
      <c r="D17" s="21" t="n">
        <f aca="false">SUM(D11:D16)</f>
        <v>0</v>
      </c>
    </row>
    <row r="20" customFormat="false" ht="17.25" hidden="false" customHeight="true" outlineLevel="0" collapsed="false">
      <c r="A20" s="11" t="s">
        <v>33</v>
      </c>
      <c r="B20" s="11"/>
      <c r="C20" s="11"/>
      <c r="D20" s="11"/>
      <c r="E20" s="11"/>
      <c r="F20" s="11"/>
      <c r="G20" s="11"/>
      <c r="H20" s="11"/>
    </row>
    <row r="22" customFormat="false" ht="15" hidden="false" customHeight="true" outlineLevel="0" collapsed="false">
      <c r="A22" s="12" t="s">
        <v>34</v>
      </c>
      <c r="B22" s="12" t="s">
        <v>35</v>
      </c>
      <c r="C22" s="12" t="s">
        <v>36</v>
      </c>
      <c r="D22" s="12" t="s">
        <v>37</v>
      </c>
      <c r="E22" s="12" t="s">
        <v>38</v>
      </c>
    </row>
    <row r="23" customFormat="false" ht="15" hidden="false" customHeight="true" outlineLevel="0" collapsed="false">
      <c r="A23" s="13" t="s">
        <v>39</v>
      </c>
      <c r="B23" s="13" t="n">
        <f aca="false">COUNTIF(Stock!E:E,A23)</f>
        <v>3</v>
      </c>
      <c r="C23" s="13" t="n">
        <f aca="false">SUMIF(Stock!E:E,A23,Stock!C:C)</f>
        <v>2</v>
      </c>
      <c r="D23" s="14" t="n">
        <f aca="false">SUMPRODUCT((Stock!E3:E200=A23)*Stock!C3:C200*Stock!M3:M200)</f>
        <v>983437.2</v>
      </c>
      <c r="E23" s="15" t="n">
        <f aca="false">SUMPRODUCT((Stock!E3:E200=A23)*Stock!C3:C200*Stock!N3:N200)</f>
        <v>0</v>
      </c>
    </row>
    <row r="24" customFormat="false" ht="15" hidden="false" customHeight="true" outlineLevel="0" collapsed="false">
      <c r="A24" s="16" t="s">
        <v>40</v>
      </c>
      <c r="B24" s="16" t="n">
        <f aca="false">COUNTIF(Stock!E:E,A24)</f>
        <v>2</v>
      </c>
      <c r="C24" s="16" t="n">
        <f aca="false">SUMIF(Stock!E:E,A24,Stock!C:C)</f>
        <v>11</v>
      </c>
      <c r="D24" s="17" t="n">
        <f aca="false">SUMPRODUCT((Stock!E3:E200=A24)*Stock!C3:C200*Stock!M3:M200)</f>
        <v>2127.36</v>
      </c>
      <c r="E24" s="18" t="n">
        <f aca="false">SUMPRODUCT((Stock!E3:E200=A24)*Stock!C3:C200*Stock!N3:N200)</f>
        <v>0</v>
      </c>
    </row>
    <row r="25" customFormat="false" ht="15" hidden="false" customHeight="true" outlineLevel="0" collapsed="false">
      <c r="A25" s="13" t="s">
        <v>41</v>
      </c>
      <c r="B25" s="13" t="n">
        <f aca="false">COUNTIF(Stock!E:E,A25)</f>
        <v>1</v>
      </c>
      <c r="C25" s="13" t="n">
        <f aca="false">SUMIF(Stock!E:E,A25,Stock!C:C)</f>
        <v>1</v>
      </c>
      <c r="D25" s="14" t="n">
        <f aca="false">SUMPRODUCT((Stock!E3:E200=A25)*Stock!C3:C200*Stock!M3:M200)</f>
        <v>177.76</v>
      </c>
      <c r="E25" s="15" t="n">
        <f aca="false">SUMPRODUCT((Stock!E3:E200=A25)*Stock!C3:C200*Stock!N3:N200)</f>
        <v>0</v>
      </c>
    </row>
    <row r="26" customFormat="false" ht="15" hidden="false" customHeight="true" outlineLevel="0" collapsed="false">
      <c r="A26" s="16" t="s">
        <v>42</v>
      </c>
      <c r="B26" s="16" t="n">
        <f aca="false">COUNTIF(Stock!E:E,A26)</f>
        <v>1</v>
      </c>
      <c r="C26" s="16" t="n">
        <f aca="false">SUMIF(Stock!E:E,A26,Stock!C:C)</f>
        <v>2</v>
      </c>
      <c r="D26" s="17" t="n">
        <f aca="false">SUMPRODUCT((Stock!E3:E200=A26)*Stock!C3:C200*Stock!M3:M200)</f>
        <v>16000</v>
      </c>
      <c r="E26" s="18" t="n">
        <f aca="false">SUMPRODUCT((Stock!E3:E200=A26)*Stock!C3:C200*Stock!N3:N200)</f>
        <v>0</v>
      </c>
    </row>
    <row r="27" customFormat="false" ht="15" hidden="false" customHeight="true" outlineLevel="0" collapsed="false">
      <c r="A27" s="13" t="s">
        <v>43</v>
      </c>
      <c r="B27" s="13" t="n">
        <f aca="false">COUNTIF(Stock!E:E,A27)</f>
        <v>2</v>
      </c>
      <c r="C27" s="13" t="n">
        <f aca="false">SUMIF(Stock!E:E,A27,Stock!C:C)</f>
        <v>0</v>
      </c>
      <c r="D27" s="14" t="n">
        <f aca="false">SUMPRODUCT((Stock!E3:E200=A27)*Stock!C3:C200*Stock!M3:M200)</f>
        <v>0</v>
      </c>
      <c r="E27" s="15" t="n">
        <f aca="false">SUMPRODUCT((Stock!E3:E200=A27)*Stock!C3:C200*Stock!N3:N200)</f>
        <v>0</v>
      </c>
    </row>
    <row r="28" customFormat="false" ht="15" hidden="false" customHeight="true" outlineLevel="0" collapsed="false">
      <c r="A28" s="16" t="s">
        <v>44</v>
      </c>
      <c r="B28" s="16" t="n">
        <f aca="false">COUNTIF(Stock!E:E,A28)</f>
        <v>2</v>
      </c>
      <c r="C28" s="16" t="n">
        <f aca="false">SUMIF(Stock!E:E,A28,Stock!C:C)</f>
        <v>9</v>
      </c>
      <c r="D28" s="17" t="n">
        <f aca="false">SUMPRODUCT((Stock!E3:E200=A28)*Stock!C3:C200*Stock!M3:M200)</f>
        <v>499100</v>
      </c>
      <c r="E28" s="18" t="n">
        <f aca="false">SUMPRODUCT((Stock!E3:E200=A28)*Stock!C3:C200*Stock!N3:N200)</f>
        <v>0</v>
      </c>
    </row>
    <row r="29" customFormat="false" ht="15" hidden="false" customHeight="true" outlineLevel="0" collapsed="false">
      <c r="A29" s="13" t="s">
        <v>45</v>
      </c>
      <c r="B29" s="13" t="n">
        <f aca="false">COUNTIF(Stock!E:E,A29)</f>
        <v>8</v>
      </c>
      <c r="C29" s="13" t="n">
        <f aca="false">SUMIF(Stock!E:E,A29,Stock!C:C)</f>
        <v>91</v>
      </c>
      <c r="D29" s="14" t="n">
        <f aca="false">SUMPRODUCT((Stock!E3:E200=A29)*Stock!C3:C200*Stock!M3:M200)</f>
        <v>23832.56</v>
      </c>
      <c r="E29" s="15" t="n">
        <f aca="false">SUMPRODUCT((Stock!E3:E200=A29)*Stock!C3:C200*Stock!N3:N200)</f>
        <v>0</v>
      </c>
    </row>
    <row r="30" customFormat="false" ht="15" hidden="false" customHeight="true" outlineLevel="0" collapsed="false">
      <c r="A30" s="16" t="s">
        <v>46</v>
      </c>
      <c r="B30" s="16" t="n">
        <f aca="false">COUNTIF(Stock!E:E,A30)</f>
        <v>1</v>
      </c>
      <c r="C30" s="16" t="n">
        <f aca="false">SUMIF(Stock!E:E,A30,Stock!C:C)</f>
        <v>1</v>
      </c>
      <c r="D30" s="17" t="n">
        <f aca="false">SUMPRODUCT((Stock!E3:E200=A30)*Stock!C3:C200*Stock!M3:M200)</f>
        <v>277000</v>
      </c>
      <c r="E30" s="18" t="n">
        <f aca="false">SUMPRODUCT((Stock!E3:E200=A30)*Stock!C3:C200*Stock!N3:N200)</f>
        <v>0</v>
      </c>
    </row>
    <row r="31" customFormat="false" ht="15" hidden="false" customHeight="true" outlineLevel="0" collapsed="false">
      <c r="A31" s="13" t="s">
        <v>47</v>
      </c>
      <c r="B31" s="13" t="n">
        <f aca="false">COUNTIF(Stock!E:E,A31)</f>
        <v>1</v>
      </c>
      <c r="C31" s="13" t="n">
        <f aca="false">SUMIF(Stock!E:E,A31,Stock!C:C)</f>
        <v>8</v>
      </c>
      <c r="D31" s="14" t="n">
        <f aca="false">SUMPRODUCT((Stock!E3:E200=A31)*Stock!C3:C200*Stock!M3:M200)</f>
        <v>2240000</v>
      </c>
      <c r="E31" s="15" t="n">
        <f aca="false">SUMPRODUCT((Stock!E3:E200=A31)*Stock!C3:C200*Stock!N3:N200)</f>
        <v>0</v>
      </c>
    </row>
    <row r="32" customFormat="false" ht="15" hidden="false" customHeight="true" outlineLevel="0" collapsed="false">
      <c r="A32" s="16" t="s">
        <v>48</v>
      </c>
      <c r="B32" s="16" t="n">
        <f aca="false">COUNTIF(Stock!E:E,A32)</f>
        <v>1</v>
      </c>
      <c r="C32" s="16" t="n">
        <f aca="false">SUMIF(Stock!E:E,A32,Stock!C:C)</f>
        <v>1</v>
      </c>
      <c r="D32" s="17" t="n">
        <f aca="false">SUMPRODUCT((Stock!E3:E200=A32)*Stock!C3:C200*Stock!M3:M200)</f>
        <v>0</v>
      </c>
      <c r="E32" s="18" t="n">
        <f aca="false">SUMPRODUCT((Stock!E3:E200=A32)*Stock!C3:C200*Stock!N3:N200)</f>
        <v>0</v>
      </c>
    </row>
    <row r="33" customFormat="false" ht="15" hidden="false" customHeight="true" outlineLevel="0" collapsed="false">
      <c r="A33" s="13" t="s">
        <v>49</v>
      </c>
      <c r="B33" s="13" t="n">
        <f aca="false">COUNTIF(Stock!E:E,A33)</f>
        <v>2</v>
      </c>
      <c r="C33" s="13" t="n">
        <f aca="false">SUMIF(Stock!E:E,A33,Stock!C:C)</f>
        <v>0</v>
      </c>
      <c r="D33" s="14" t="n">
        <f aca="false">SUMPRODUCT((Stock!E3:E200=A33)*Stock!C3:C200*Stock!M3:M200)</f>
        <v>0</v>
      </c>
      <c r="E33" s="15" t="n">
        <f aca="false">SUMPRODUCT((Stock!E3:E200=A33)*Stock!C3:C200*Stock!N3:N200)</f>
        <v>0</v>
      </c>
    </row>
    <row r="34" customFormat="false" ht="15" hidden="false" customHeight="true" outlineLevel="0" collapsed="false">
      <c r="A34" s="16" t="s">
        <v>50</v>
      </c>
      <c r="B34" s="16" t="n">
        <f aca="false">COUNTIF(Stock!E:E,A34)</f>
        <v>4</v>
      </c>
      <c r="C34" s="16" t="n">
        <f aca="false">SUMIF(Stock!E:E,A34,Stock!C:C)</f>
        <v>86</v>
      </c>
      <c r="D34" s="17" t="n">
        <f aca="false">SUMPRODUCT((Stock!E3:E200=A34)*Stock!C3:C200*Stock!M3:M200)</f>
        <v>10538778</v>
      </c>
      <c r="E34" s="18" t="n">
        <f aca="false">SUMPRODUCT((Stock!E3:E200=A34)*Stock!C3:C200*Stock!N3:N200)</f>
        <v>0</v>
      </c>
    </row>
  </sheetData>
  <mergeCells count="12">
    <mergeCell ref="A1:H1"/>
    <mergeCell ref="A2:H2"/>
    <mergeCell ref="B4:C4"/>
    <mergeCell ref="D4:E4"/>
    <mergeCell ref="F4:G4"/>
    <mergeCell ref="H4:I4"/>
    <mergeCell ref="B5:C5"/>
    <mergeCell ref="D5:E5"/>
    <mergeCell ref="F5:G5"/>
    <mergeCell ref="H5:I5"/>
    <mergeCell ref="A8:H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8" min="7" style="1" width="28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4" min="13" style="1" width="14"/>
  </cols>
  <sheetData>
    <row r="1" customFormat="false" ht="17.25" hidden="false" customHeight="true" outlineLevel="0" collapsed="false">
      <c r="A1" s="11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30" hidden="false" customHeight="true" outlineLevel="0" collapsed="false">
      <c r="A2" s="12" t="s">
        <v>52</v>
      </c>
      <c r="B2" s="12" t="s">
        <v>53</v>
      </c>
      <c r="C2" s="12" t="s">
        <v>54</v>
      </c>
      <c r="D2" s="12" t="s">
        <v>55</v>
      </c>
      <c r="E2" s="12" t="s">
        <v>34</v>
      </c>
      <c r="F2" s="12" t="s">
        <v>56</v>
      </c>
      <c r="G2" s="12" t="s">
        <v>57</v>
      </c>
      <c r="H2" s="22" t="s">
        <v>58</v>
      </c>
      <c r="I2" s="12" t="s">
        <v>59</v>
      </c>
      <c r="J2" s="12" t="s">
        <v>60</v>
      </c>
      <c r="K2" s="12" t="s">
        <v>61</v>
      </c>
      <c r="L2" s="12" t="s">
        <v>62</v>
      </c>
      <c r="M2" s="12" t="s">
        <v>63</v>
      </c>
      <c r="N2" s="12" t="s">
        <v>64</v>
      </c>
      <c r="O2" s="12" t="s">
        <v>65</v>
      </c>
    </row>
    <row r="3" customFormat="false" ht="64.5" hidden="false" customHeight="true" outlineLevel="0" collapsed="false">
      <c r="A3" s="23"/>
      <c r="B3" s="23" t="s">
        <v>66</v>
      </c>
      <c r="C3" s="24" t="n">
        <v>1</v>
      </c>
      <c r="D3" s="23" t="str">
        <f aca="false">IF(C3=0,"SIN STOCK",IF(AND(H3&gt;0,C3&lt;H3*Config!$B$3/100),"CRÍTICO",IF(AND(H3&gt;0,C3&lt;H3*0.5),"BAJO","OK")))</f>
        <v>OK</v>
      </c>
      <c r="E3" s="23" t="s">
        <v>45</v>
      </c>
      <c r="F3" s="23" t="s">
        <v>67</v>
      </c>
      <c r="G3" s="23" t="s">
        <v>68</v>
      </c>
      <c r="I3" s="24" t="n">
        <v>5</v>
      </c>
      <c r="J3" s="24" t="n">
        <v>10</v>
      </c>
      <c r="K3" s="23" t="s">
        <v>69</v>
      </c>
      <c r="L3" s="23" t="s">
        <v>70</v>
      </c>
      <c r="M3" s="23" t="n">
        <v>686.79</v>
      </c>
      <c r="N3" s="25" t="n">
        <f aca="false">IF(J3="USD",L3,IF(J3="ARS",L3/Config!$B$2,0))</f>
        <v>0</v>
      </c>
      <c r="O3" s="26" t="n">
        <f aca="false">IF(J3="ARS",L3,IF(J3="USD",L3*Config!$B$2,0))</f>
        <v>0</v>
      </c>
    </row>
    <row r="4" customFormat="false" ht="64.5" hidden="false" customHeight="true" outlineLevel="0" collapsed="false">
      <c r="A4" s="23"/>
      <c r="B4" s="23" t="s">
        <v>71</v>
      </c>
      <c r="C4" s="24" t="n">
        <v>6</v>
      </c>
      <c r="D4" s="23" t="str">
        <f aca="false">IF(C4=0,"SIN STOCK",IF(AND(H4&gt;0,C4&lt;H4*Config!$B$3/100),"CRÍTICO",IF(AND(H4&gt;0,C4&lt;H4*0.5),"BAJO","OK")))</f>
        <v>OK</v>
      </c>
      <c r="E4" s="23" t="s">
        <v>45</v>
      </c>
      <c r="F4" s="23" t="s">
        <v>67</v>
      </c>
      <c r="G4" s="23" t="s">
        <v>72</v>
      </c>
      <c r="I4" s="24" t="n">
        <v>1</v>
      </c>
      <c r="J4" s="24" t="n">
        <v>0</v>
      </c>
      <c r="K4" s="23" t="s">
        <v>69</v>
      </c>
      <c r="L4" s="23" t="s">
        <v>73</v>
      </c>
      <c r="M4" s="23" t="n">
        <v>895.44</v>
      </c>
      <c r="N4" s="25" t="n">
        <f aca="false">IF(J4="USD",L4,IF(J4="ARS",L4/Config!$B$2,0))</f>
        <v>0</v>
      </c>
      <c r="O4" s="26" t="n">
        <f aca="false">IF(J4="ARS",L4,IF(J4="USD",L4*Config!$B$2,0))</f>
        <v>0</v>
      </c>
    </row>
    <row r="5" customFormat="false" ht="64.5" hidden="false" customHeight="true" outlineLevel="0" collapsed="false">
      <c r="A5" s="23"/>
      <c r="B5" s="23" t="s">
        <v>74</v>
      </c>
      <c r="C5" s="24" t="n">
        <v>1</v>
      </c>
      <c r="D5" s="23" t="str">
        <f aca="false">IF(C5=0,"SIN STOCK",IF(AND(H5&gt;0,C5&lt;H5*Config!$B$3/100),"CRÍTICO",IF(AND(H5&gt;0,C5&lt;H5*0.5),"BAJO","OK")))</f>
        <v>OK</v>
      </c>
      <c r="E5" s="23" t="s">
        <v>41</v>
      </c>
      <c r="F5" s="23" t="s">
        <v>67</v>
      </c>
      <c r="G5" s="23"/>
      <c r="I5" s="24" t="n">
        <v>3</v>
      </c>
      <c r="J5" s="24" t="n">
        <v>3</v>
      </c>
      <c r="K5" s="23" t="s">
        <v>69</v>
      </c>
      <c r="L5" s="23" t="s">
        <v>75</v>
      </c>
      <c r="M5" s="23" t="n">
        <v>177.76</v>
      </c>
      <c r="N5" s="25" t="n">
        <f aca="false">IF(J5="USD",L5,IF(J5="ARS",L5/Config!$B$2,0))</f>
        <v>0</v>
      </c>
      <c r="O5" s="26" t="n">
        <f aca="false">IF(J5="ARS",L5,IF(J5="USD",L5*Config!$B$2,0))</f>
        <v>0</v>
      </c>
    </row>
    <row r="6" customFormat="false" ht="64.5" hidden="false" customHeight="true" outlineLevel="0" collapsed="false">
      <c r="A6" s="23"/>
      <c r="B6" s="23" t="s">
        <v>76</v>
      </c>
      <c r="C6" s="24" t="n">
        <v>30</v>
      </c>
      <c r="D6" s="23" t="str">
        <f aca="false">IF(C6=0,"SIN STOCK",IF(AND(H6&gt;0,C6&lt;H6*Config!$B$3/100),"CRÍTICO",IF(AND(H6&gt;0,C6&lt;H6*0.5),"BAJO","OK")))</f>
        <v>OK</v>
      </c>
      <c r="E6" s="23" t="s">
        <v>45</v>
      </c>
      <c r="F6" s="23" t="s">
        <v>67</v>
      </c>
      <c r="G6" s="23"/>
      <c r="I6" s="24" t="n">
        <v>15</v>
      </c>
      <c r="J6" s="24" t="n">
        <v>20</v>
      </c>
      <c r="K6" s="23" t="s">
        <v>69</v>
      </c>
      <c r="L6" s="23" t="s">
        <v>77</v>
      </c>
      <c r="M6" s="23" t="n">
        <v>260.31</v>
      </c>
      <c r="N6" s="25" t="n">
        <f aca="false">IF(J6="USD",L6,IF(J6="ARS",L6/Config!$B$2,0))</f>
        <v>0</v>
      </c>
      <c r="O6" s="26" t="n">
        <f aca="false">IF(J6="ARS",L6,IF(J6="USD",L6*Config!$B$2,0))</f>
        <v>0</v>
      </c>
    </row>
    <row r="7" customFormat="false" ht="64.5" hidden="false" customHeight="true" outlineLevel="0" collapsed="false">
      <c r="A7" s="23"/>
      <c r="B7" s="23" t="s">
        <v>78</v>
      </c>
      <c r="C7" s="24" t="n">
        <v>4</v>
      </c>
      <c r="D7" s="23" t="str">
        <f aca="false">IF(C7=0,"SIN STOCK",IF(AND(H7&gt;0,C7&lt;H7*Config!$B$3/100),"CRÍTICO",IF(AND(H7&gt;0,C7&lt;H7*0.5),"BAJO","OK")))</f>
        <v>OK</v>
      </c>
      <c r="E7" s="23" t="s">
        <v>45</v>
      </c>
      <c r="F7" s="23" t="s">
        <v>67</v>
      </c>
      <c r="G7" s="23"/>
      <c r="I7" s="24" t="n">
        <v>10</v>
      </c>
      <c r="J7" s="24" t="n">
        <v>20</v>
      </c>
      <c r="K7" s="23" t="s">
        <v>69</v>
      </c>
      <c r="L7" s="23" t="s">
        <v>79</v>
      </c>
      <c r="M7" s="23" t="n">
        <v>271.77</v>
      </c>
      <c r="N7" s="25" t="n">
        <f aca="false">IF(J7="USD",L7,IF(J7="ARS",L7/Config!$B$2,0))</f>
        <v>0</v>
      </c>
      <c r="O7" s="26" t="n">
        <f aca="false">IF(J7="ARS",L7,IF(J7="USD",L7*Config!$B$2,0))</f>
        <v>0</v>
      </c>
    </row>
    <row r="8" customFormat="false" ht="64.5" hidden="false" customHeight="true" outlineLevel="0" collapsed="false">
      <c r="A8" s="23"/>
      <c r="B8" s="23" t="s">
        <v>80</v>
      </c>
      <c r="C8" s="24" t="n">
        <v>6</v>
      </c>
      <c r="D8" s="23" t="str">
        <f aca="false">IF(C8=0,"SIN STOCK",IF(AND(H8&gt;0,C8&lt;H8*Config!$B$3/100),"CRÍTICO",IF(AND(H8&gt;0,C8&lt;H8*0.5),"BAJO","OK")))</f>
        <v>OK</v>
      </c>
      <c r="E8" s="23" t="s">
        <v>40</v>
      </c>
      <c r="F8" s="23" t="s">
        <v>67</v>
      </c>
      <c r="G8" s="23"/>
      <c r="I8" s="24" t="n">
        <v>3</v>
      </c>
      <c r="J8" s="24" t="n">
        <v>5</v>
      </c>
      <c r="K8" s="23" t="s">
        <v>69</v>
      </c>
      <c r="L8" s="23" t="s">
        <v>75</v>
      </c>
      <c r="M8" s="23" t="n">
        <v>177.76</v>
      </c>
      <c r="N8" s="25" t="n">
        <f aca="false">IF(J8="USD",L8,IF(J8="ARS",L8/Config!$B$2,0))</f>
        <v>0</v>
      </c>
      <c r="O8" s="26" t="n">
        <f aca="false">IF(J8="ARS",L8,IF(J8="USD",L8*Config!$B$2,0))</f>
        <v>0</v>
      </c>
    </row>
    <row r="9" customFormat="false" ht="64.5" hidden="false" customHeight="true" outlineLevel="0" collapsed="false">
      <c r="A9" s="23"/>
      <c r="B9" s="23" t="s">
        <v>81</v>
      </c>
      <c r="C9" s="24" t="n">
        <v>5</v>
      </c>
      <c r="D9" s="23" t="str">
        <f aca="false">IF(C9=0,"SIN STOCK",IF(AND(H9&gt;0,C9&lt;H9*Config!$B$3/100),"CRÍTICO",IF(AND(H9&gt;0,C9&lt;H9*0.5),"BAJO","OK")))</f>
        <v>OK</v>
      </c>
      <c r="E9" s="23" t="s">
        <v>40</v>
      </c>
      <c r="F9" s="23" t="s">
        <v>67</v>
      </c>
      <c r="G9" s="23"/>
      <c r="I9" s="24" t="n">
        <v>3</v>
      </c>
      <c r="J9" s="24" t="n">
        <v>5</v>
      </c>
      <c r="K9" s="23" t="s">
        <v>69</v>
      </c>
      <c r="L9" s="23" t="s">
        <v>82</v>
      </c>
      <c r="M9" s="23" t="n">
        <v>212.16</v>
      </c>
      <c r="N9" s="25" t="n">
        <f aca="false">IF(J9="USD",L9,IF(J9="ARS",L9/Config!$B$2,0))</f>
        <v>0</v>
      </c>
      <c r="O9" s="26" t="n">
        <f aca="false">IF(J9="ARS",L9,IF(J9="USD",L9*Config!$B$2,0))</f>
        <v>0</v>
      </c>
    </row>
    <row r="10" customFormat="false" ht="64.5" hidden="false" customHeight="true" outlineLevel="0" collapsed="false">
      <c r="A10" s="23"/>
      <c r="B10" s="23" t="s">
        <v>83</v>
      </c>
      <c r="C10" s="24" t="n">
        <v>1</v>
      </c>
      <c r="D10" s="23" t="str">
        <f aca="false">IF(C10=0,"SIN STOCK",IF(AND(H10&gt;0,C10&lt;H10*Config!$B$3/100),"CRÍTICO",IF(AND(H10&gt;0,C10&lt;H10*0.5),"BAJO","OK")))</f>
        <v>OK</v>
      </c>
      <c r="E10" s="23" t="s">
        <v>48</v>
      </c>
      <c r="F10" s="23" t="s">
        <v>67</v>
      </c>
      <c r="G10" s="23"/>
      <c r="I10" s="24" t="n">
        <v>0</v>
      </c>
      <c r="J10" s="24" t="n">
        <v>0</v>
      </c>
      <c r="K10" s="23"/>
      <c r="L10" s="23"/>
      <c r="M10" s="23" t="n">
        <v>0</v>
      </c>
      <c r="N10" s="25" t="n">
        <f aca="false">IF(J10="USD",L10,IF(J10="ARS",L10/Config!$B$2,0))</f>
        <v>0</v>
      </c>
      <c r="O10" s="26" t="n">
        <f aca="false">IF(J10="ARS",L10,IF(J10="USD",L10*Config!$B$2,0))</f>
        <v>0</v>
      </c>
    </row>
    <row r="11" customFormat="false" ht="64.5" hidden="false" customHeight="true" outlineLevel="0" collapsed="false">
      <c r="A11" s="23"/>
      <c r="B11" s="23" t="s">
        <v>84</v>
      </c>
      <c r="C11" s="24" t="n">
        <v>30</v>
      </c>
      <c r="D11" s="23" t="str">
        <f aca="false">IF(C11=0,"SIN STOCK",IF(AND(H11&gt;0,C11&lt;H11*Config!$B$3/100),"CRÍTICO",IF(AND(H11&gt;0,C11&lt;H11*0.5),"BAJO","OK")))</f>
        <v>OK</v>
      </c>
      <c r="E11" s="23" t="s">
        <v>45</v>
      </c>
      <c r="F11" s="23" t="s">
        <v>67</v>
      </c>
      <c r="G11" s="23" t="s">
        <v>85</v>
      </c>
      <c r="I11" s="24" t="n">
        <v>30</v>
      </c>
      <c r="J11" s="24" t="n">
        <v>80</v>
      </c>
      <c r="K11" s="23" t="s">
        <v>69</v>
      </c>
      <c r="L11" s="23" t="s">
        <v>86</v>
      </c>
      <c r="M11" s="23" t="n">
        <v>72.29</v>
      </c>
      <c r="N11" s="25" t="n">
        <f aca="false">IF(J11="USD",L11,IF(J11="ARS",L11/Config!$B$2,0))</f>
        <v>0</v>
      </c>
      <c r="O11" s="26" t="n">
        <f aca="false">IF(J11="ARS",L11,IF(J11="USD",L11*Config!$B$2,0))</f>
        <v>0</v>
      </c>
    </row>
    <row r="12" customFormat="false" ht="64.5" hidden="false" customHeight="true" outlineLevel="0" collapsed="false">
      <c r="A12" s="23"/>
      <c r="B12" s="23" t="s">
        <v>87</v>
      </c>
      <c r="C12" s="24" t="n">
        <v>5</v>
      </c>
      <c r="D12" s="23" t="str">
        <f aca="false">IF(C12=0,"SIN STOCK",IF(AND(H12&gt;0,C12&lt;H12*Config!$B$3/100),"CRÍTICO",IF(AND(H12&gt;0,C12&lt;H12*0.5),"BAJO","OK")))</f>
        <v>OK</v>
      </c>
      <c r="E12" s="23" t="s">
        <v>45</v>
      </c>
      <c r="F12" s="23" t="s">
        <v>67</v>
      </c>
      <c r="G12" s="23"/>
      <c r="I12" s="24" t="n">
        <v>5</v>
      </c>
      <c r="J12" s="24" t="n">
        <v>10</v>
      </c>
      <c r="K12" s="23" t="s">
        <v>69</v>
      </c>
      <c r="L12" s="23" t="s">
        <v>88</v>
      </c>
      <c r="M12" s="23" t="n">
        <v>161.71</v>
      </c>
      <c r="N12" s="25" t="n">
        <f aca="false">IF(J12="USD",L12,IF(J12="ARS",L12/Config!$B$2,0))</f>
        <v>0</v>
      </c>
      <c r="O12" s="26" t="n">
        <f aca="false">IF(J12="ARS",L12,IF(J12="USD",L12*Config!$B$2,0))</f>
        <v>0</v>
      </c>
    </row>
    <row r="13" customFormat="false" ht="64.5" hidden="false" customHeight="true" outlineLevel="0" collapsed="false">
      <c r="A13" s="23"/>
      <c r="B13" s="23" t="s">
        <v>89</v>
      </c>
      <c r="C13" s="24" t="n">
        <v>0</v>
      </c>
      <c r="D13" s="23" t="str">
        <f aca="false">IF(C13=0,"SIN STOCK",IF(AND(H13&gt;0,C13&lt;H13*Config!$B$3/100),"CRÍTICO",IF(AND(H13&gt;0,C13&lt;H13*0.5),"BAJO","OK")))</f>
        <v>SIN STOCK</v>
      </c>
      <c r="E13" s="23" t="s">
        <v>45</v>
      </c>
      <c r="F13" s="23" t="s">
        <v>67</v>
      </c>
      <c r="G13" s="23"/>
      <c r="I13" s="24" t="n">
        <v>29</v>
      </c>
      <c r="J13" s="24" t="n">
        <v>50</v>
      </c>
      <c r="K13" s="23" t="s">
        <v>69</v>
      </c>
      <c r="L13" s="23" t="s">
        <v>90</v>
      </c>
      <c r="M13" s="23" t="n">
        <v>349.73</v>
      </c>
      <c r="N13" s="25" t="n">
        <f aca="false">IF(J13="USD",L13,IF(J13="ARS",L13/Config!$B$2,0))</f>
        <v>0</v>
      </c>
      <c r="O13" s="26" t="n">
        <f aca="false">IF(J13="ARS",L13,IF(J13="USD",L13*Config!$B$2,0))</f>
        <v>0</v>
      </c>
    </row>
    <row r="14" customFormat="false" ht="64.5" hidden="false" customHeight="true" outlineLevel="0" collapsed="false">
      <c r="A14" s="23"/>
      <c r="B14" s="23" t="s">
        <v>91</v>
      </c>
      <c r="C14" s="24" t="n">
        <v>15</v>
      </c>
      <c r="D14" s="23" t="str">
        <f aca="false">IF(C14=0,"SIN STOCK",IF(AND(H14&gt;0,C14&lt;H14*Config!$B$3/100),"CRÍTICO",IF(AND(H14&gt;0,C14&lt;H14*0.5),"BAJO","OK")))</f>
        <v>OK</v>
      </c>
      <c r="E14" s="23" t="s">
        <v>45</v>
      </c>
      <c r="F14" s="23" t="s">
        <v>67</v>
      </c>
      <c r="G14" s="23"/>
      <c r="I14" s="24" t="n">
        <v>4</v>
      </c>
      <c r="J14" s="24" t="n">
        <v>10</v>
      </c>
      <c r="K14" s="23" t="s">
        <v>69</v>
      </c>
      <c r="L14" s="23" t="s">
        <v>92</v>
      </c>
      <c r="M14" s="23" t="n">
        <v>393.3</v>
      </c>
      <c r="N14" s="25" t="n">
        <f aca="false">IF(J14="USD",L14,IF(J14="ARS",L14/Config!$B$2,0))</f>
        <v>0</v>
      </c>
      <c r="O14" s="26" t="n">
        <f aca="false">IF(J14="ARS",L14,IF(J14="USD",L14*Config!$B$2,0))</f>
        <v>0</v>
      </c>
    </row>
    <row r="15" customFormat="false" ht="64.5" hidden="false" customHeight="true" outlineLevel="0" collapsed="false">
      <c r="A15" s="23"/>
      <c r="B15" s="23" t="s">
        <v>93</v>
      </c>
      <c r="C15" s="24" t="n">
        <v>2</v>
      </c>
      <c r="D15" s="23" t="str">
        <f aca="false">IF(C15=0,"SIN STOCK",IF(AND(H15&gt;0,C15&lt;H15*Config!$B$3/100),"CRÍTICO",IF(AND(H15&gt;0,C15&lt;H15*0.5),"BAJO","OK")))</f>
        <v>OK</v>
      </c>
      <c r="E15" s="23" t="s">
        <v>42</v>
      </c>
      <c r="F15" s="23" t="s">
        <v>94</v>
      </c>
      <c r="G15" s="23"/>
      <c r="I15" s="24"/>
      <c r="J15" s="24" t="n">
        <v>10</v>
      </c>
      <c r="K15" s="23" t="s">
        <v>95</v>
      </c>
      <c r="L15" s="23" t="s">
        <v>96</v>
      </c>
      <c r="M15" s="23" t="n">
        <v>8000</v>
      </c>
      <c r="N15" s="25" t="n">
        <f aca="false">IF(J15="USD",L15,IF(J15="ARS",L15/Config!$B$2,0))</f>
        <v>0</v>
      </c>
      <c r="O15" s="26" t="n">
        <f aca="false">IF(J15="ARS",L15,IF(J15="USD",L15*Config!$B$2,0))</f>
        <v>0</v>
      </c>
    </row>
    <row r="16" customFormat="false" ht="64.5" hidden="false" customHeight="true" outlineLevel="0" collapsed="false">
      <c r="A16" s="23"/>
      <c r="B16" s="23" t="s">
        <v>97</v>
      </c>
      <c r="C16" s="24" t="n">
        <v>0</v>
      </c>
      <c r="D16" s="23" t="str">
        <f aca="false">IF(C16=0,"SIN STOCK",IF(AND(H16&gt;0,C16&lt;H16*Config!$B$3/100),"CRÍTICO",IF(AND(H16&gt;0,C16&lt;H16*0.5),"BAJO","OK")))</f>
        <v>SIN STOCK</v>
      </c>
      <c r="E16" s="23" t="s">
        <v>43</v>
      </c>
      <c r="F16" s="23" t="s">
        <v>94</v>
      </c>
      <c r="G16" s="23"/>
      <c r="I16" s="24" t="n">
        <v>5</v>
      </c>
      <c r="J16" s="24" t="n">
        <v>10</v>
      </c>
      <c r="K16" s="23" t="s">
        <v>95</v>
      </c>
      <c r="L16" s="23" t="s">
        <v>98</v>
      </c>
      <c r="M16" s="23" t="n">
        <v>9500</v>
      </c>
      <c r="N16" s="25" t="n">
        <f aca="false">IF(J16="USD",L16,IF(J16="ARS",L16/Config!$B$2,0))</f>
        <v>0</v>
      </c>
      <c r="O16" s="26" t="n">
        <f aca="false">IF(J16="ARS",L16,IF(J16="USD",L16*Config!$B$2,0))</f>
        <v>0</v>
      </c>
    </row>
    <row r="17" customFormat="false" ht="64.5" hidden="false" customHeight="true" outlineLevel="0" collapsed="false">
      <c r="A17" s="23"/>
      <c r="B17" s="23" t="s">
        <v>99</v>
      </c>
      <c r="C17" s="24" t="n">
        <v>0</v>
      </c>
      <c r="D17" s="23" t="str">
        <f aca="false">IF(C17=0,"SIN STOCK",IF(AND(H17&gt;0,C17&lt;H17*Config!$B$3/100),"CRÍTICO",IF(AND(H17&gt;0,C17&lt;H17*0.5),"BAJO","OK")))</f>
        <v>SIN STOCK</v>
      </c>
      <c r="E17" s="23" t="s">
        <v>43</v>
      </c>
      <c r="F17" s="23" t="s">
        <v>94</v>
      </c>
      <c r="G17" s="23"/>
      <c r="I17" s="24" t="n">
        <v>5</v>
      </c>
      <c r="J17" s="24" t="n">
        <v>10</v>
      </c>
      <c r="K17" s="23" t="s">
        <v>95</v>
      </c>
      <c r="L17" s="23" t="s">
        <v>100</v>
      </c>
      <c r="M17" s="23" t="n">
        <v>15000</v>
      </c>
      <c r="N17" s="25" t="n">
        <f aca="false">IF(J17="USD",L17,IF(J17="ARS",L17/Config!$B$2,0))</f>
        <v>0</v>
      </c>
      <c r="O17" s="26" t="n">
        <f aca="false">IF(J17="ARS",L17,IF(J17="USD",L17*Config!$B$2,0))</f>
        <v>0</v>
      </c>
    </row>
    <row r="18" customFormat="false" ht="64.5" hidden="false" customHeight="true" outlineLevel="0" collapsed="false">
      <c r="A18" s="23"/>
      <c r="B18" s="23" t="s">
        <v>101</v>
      </c>
      <c r="C18" s="24" t="n">
        <v>5</v>
      </c>
      <c r="D18" s="23" t="str">
        <f aca="false">IF(C18=0,"SIN STOCK",IF(AND(H18&gt;0,C18&lt;H18*Config!$B$3/100),"CRÍTICO",IF(AND(H18&gt;0,C18&lt;H18*0.5),"BAJO","OK")))</f>
        <v>OK</v>
      </c>
      <c r="E18" s="23" t="s">
        <v>44</v>
      </c>
      <c r="F18" s="23" t="s">
        <v>94</v>
      </c>
      <c r="G18" s="23" t="s">
        <v>102</v>
      </c>
      <c r="I18" s="24" t="n">
        <v>3</v>
      </c>
      <c r="J18" s="24" t="n">
        <v>10</v>
      </c>
      <c r="K18" s="23" t="s">
        <v>95</v>
      </c>
      <c r="L18" s="23" t="n">
        <v>59900</v>
      </c>
      <c r="M18" s="23" t="n">
        <v>59900</v>
      </c>
      <c r="N18" s="25" t="n">
        <f aca="false">IF(J18="USD",L18,IF(J18="ARS",L18/Config!$B$2,0))</f>
        <v>0</v>
      </c>
      <c r="O18" s="26" t="n">
        <f aca="false">IF(J18="ARS",L18,IF(J18="USD",L18*Config!$B$2,0))</f>
        <v>0</v>
      </c>
    </row>
    <row r="19" customFormat="false" ht="64.5" hidden="false" customHeight="true" outlineLevel="0" collapsed="false">
      <c r="A19" s="23"/>
      <c r="B19" s="23" t="s">
        <v>103</v>
      </c>
      <c r="C19" s="24" t="n">
        <v>4</v>
      </c>
      <c r="D19" s="23" t="str">
        <f aca="false">IF(C19=0,"SIN STOCK",IF(AND(H19&gt;0,C19&lt;H19*Config!$B$3/100),"CRÍTICO",IF(AND(H19&gt;0,C19&lt;H19*0.5),"BAJO","OK")))</f>
        <v>OK</v>
      </c>
      <c r="E19" s="23" t="s">
        <v>44</v>
      </c>
      <c r="F19" s="23" t="s">
        <v>94</v>
      </c>
      <c r="G19" s="23" t="s">
        <v>104</v>
      </c>
      <c r="I19" s="24" t="n">
        <v>3</v>
      </c>
      <c r="J19" s="24" t="n">
        <v>10</v>
      </c>
      <c r="K19" s="23" t="s">
        <v>95</v>
      </c>
      <c r="L19" s="23" t="n">
        <v>49900</v>
      </c>
      <c r="M19" s="23" t="n">
        <v>49900</v>
      </c>
      <c r="N19" s="25" t="n">
        <f aca="false">IF(J19="USD",L19,IF(J19="ARS",L19/Config!$B$2,0))</f>
        <v>0</v>
      </c>
      <c r="O19" s="26" t="n">
        <f aca="false">IF(J19="ARS",L19,IF(J19="USD",L19*Config!$B$2,0))</f>
        <v>0</v>
      </c>
    </row>
    <row r="20" customFormat="false" ht="64.5" hidden="false" customHeight="true" outlineLevel="0" collapsed="false">
      <c r="A20" s="23"/>
      <c r="B20" s="23" t="s">
        <v>105</v>
      </c>
      <c r="C20" s="24" t="n">
        <v>39</v>
      </c>
      <c r="D20" s="23" t="str">
        <f aca="false">IF(C20=0,"SIN STOCK",IF(AND(H20&gt;0,C20&lt;H20*Config!$B$3/100),"CRÍTICO",IF(AND(H20&gt;0,C20&lt;H20*0.5),"BAJO","OK")))</f>
        <v>OK</v>
      </c>
      <c r="E20" s="23" t="s">
        <v>50</v>
      </c>
      <c r="F20" s="23" t="s">
        <v>106</v>
      </c>
      <c r="G20" s="27" t="s">
        <v>107</v>
      </c>
      <c r="I20" s="24" t="n">
        <v>30</v>
      </c>
      <c r="J20" s="24" t="n">
        <v>20</v>
      </c>
      <c r="K20" s="23" t="s">
        <v>95</v>
      </c>
      <c r="L20" s="23" t="n">
        <v>106177</v>
      </c>
      <c r="M20" s="23" t="n">
        <v>106177</v>
      </c>
      <c r="N20" s="25" t="n">
        <f aca="false">IF(J20="USD",L20,IF(J20="ARS",L20/Config!$B$2,0))</f>
        <v>0</v>
      </c>
      <c r="O20" s="26" t="n">
        <f aca="false">IF(J20="ARS",L20,IF(J20="USD",L20*Config!$B$2,0))</f>
        <v>0</v>
      </c>
    </row>
    <row r="21" customFormat="false" ht="64.5" hidden="false" customHeight="true" outlineLevel="0" collapsed="false">
      <c r="A21" s="23"/>
      <c r="B21" s="23" t="s">
        <v>108</v>
      </c>
      <c r="C21" s="24" t="n">
        <v>47</v>
      </c>
      <c r="D21" s="23" t="str">
        <f aca="false">IF(C21=0,"SIN STOCK",IF(AND(H21&gt;0,C21&lt;H21*Config!$B$3/100),"CRÍTICO",IF(AND(H21&gt;0,C21&lt;H21*0.5),"BAJO","OK")))</f>
        <v>OK</v>
      </c>
      <c r="E21" s="23" t="s">
        <v>50</v>
      </c>
      <c r="F21" s="23" t="s">
        <v>106</v>
      </c>
      <c r="G21" s="27" t="s">
        <v>107</v>
      </c>
      <c r="I21" s="24"/>
      <c r="J21" s="24" t="n">
        <v>0</v>
      </c>
      <c r="K21" s="23" t="s">
        <v>95</v>
      </c>
      <c r="L21" s="23" t="n">
        <v>136125</v>
      </c>
      <c r="M21" s="23" t="n">
        <v>136125</v>
      </c>
      <c r="N21" s="25" t="n">
        <f aca="false">IF(J21="USD",L21,IF(J21="ARS",L21/Config!$B$2,0))</f>
        <v>0</v>
      </c>
      <c r="O21" s="26" t="n">
        <f aca="false">IF(J21="ARS",L21,IF(J21="USD",L21*Config!$B$2,0))</f>
        <v>0</v>
      </c>
    </row>
    <row r="22" customFormat="false" ht="64.5" hidden="false" customHeight="true" outlineLevel="0" collapsed="false">
      <c r="A22" s="23"/>
      <c r="B22" s="23" t="s">
        <v>109</v>
      </c>
      <c r="C22" s="24" t="n">
        <v>0</v>
      </c>
      <c r="D22" s="23" t="str">
        <f aca="false">IF(C22=0,"SIN STOCK",IF(AND(H22&gt;0,C22&lt;H22*Config!$B$3/100),"CRÍTICO",IF(AND(H22&gt;0,C22&lt;H22*0.5),"BAJO","OK")))</f>
        <v>SIN STOCK</v>
      </c>
      <c r="E22" s="23" t="s">
        <v>50</v>
      </c>
      <c r="F22" s="23" t="s">
        <v>110</v>
      </c>
      <c r="G22" s="27" t="s">
        <v>111</v>
      </c>
      <c r="I22" s="24"/>
      <c r="J22" s="24" t="n">
        <v>30</v>
      </c>
      <c r="K22" s="23" t="s">
        <v>95</v>
      </c>
      <c r="L22" s="23" t="n">
        <v>55211</v>
      </c>
      <c r="M22" s="23" t="n">
        <v>55211</v>
      </c>
      <c r="N22" s="25" t="n">
        <f aca="false">IF(J22="USD",L22,IF(J22="ARS",L22/Config!$B$2,0))</f>
        <v>0</v>
      </c>
      <c r="O22" s="26" t="n">
        <f aca="false">IF(J22="ARS",L22,IF(J22="USD",L22*Config!$B$2,0))</f>
        <v>0</v>
      </c>
    </row>
    <row r="23" customFormat="false" ht="64.5" hidden="false" customHeight="true" outlineLevel="0" collapsed="false">
      <c r="A23" s="23"/>
      <c r="B23" s="23" t="s">
        <v>112</v>
      </c>
      <c r="C23" s="24" t="n">
        <v>0</v>
      </c>
      <c r="D23" s="23" t="str">
        <f aca="false">IF(C23=0,"SIN STOCK",IF(AND(H23&gt;0,C23&lt;H23*Config!$B$3/100),"CRÍTICO",IF(AND(H23&gt;0,C23&lt;H23*0.5),"BAJO","OK")))</f>
        <v>SIN STOCK</v>
      </c>
      <c r="E23" s="23" t="s">
        <v>50</v>
      </c>
      <c r="F23" s="23" t="s">
        <v>110</v>
      </c>
      <c r="G23" s="27" t="s">
        <v>113</v>
      </c>
      <c r="I23" s="24"/>
      <c r="J23" s="24" t="n">
        <v>5</v>
      </c>
      <c r="K23" s="23" t="s">
        <v>95</v>
      </c>
      <c r="L23" s="23" t="n">
        <v>89250</v>
      </c>
      <c r="M23" s="23" t="n">
        <v>89250</v>
      </c>
      <c r="N23" s="25" t="n">
        <f aca="false">IF(J23="USD",L23,IF(J23="ARS",L23/Config!$B$2,0))</f>
        <v>0</v>
      </c>
      <c r="O23" s="26" t="n">
        <f aca="false">IF(J23="ARS",L23,IF(J23="USD",L23*Config!$B$2,0))</f>
        <v>0</v>
      </c>
    </row>
    <row r="24" customFormat="false" ht="64.5" hidden="false" customHeight="true" outlineLevel="0" collapsed="false">
      <c r="A24" s="23"/>
      <c r="B24" s="23" t="s">
        <v>114</v>
      </c>
      <c r="C24" s="24" t="n">
        <v>0</v>
      </c>
      <c r="D24" s="23" t="str">
        <f aca="false">IF(C24=0,"SIN STOCK",IF(AND(H24&gt;0,C24&lt;H24*Config!$B$3/100),"CRÍTICO",IF(AND(H24&gt;0,C24&lt;H24*0.5),"BAJO","OK")))</f>
        <v>SIN STOCK</v>
      </c>
      <c r="E24" s="23" t="s">
        <v>49</v>
      </c>
      <c r="F24" s="23" t="s">
        <v>115</v>
      </c>
      <c r="G24" s="23" t="s">
        <v>116</v>
      </c>
      <c r="I24" s="24"/>
      <c r="J24" s="24" t="n">
        <v>1</v>
      </c>
      <c r="K24" s="23" t="s">
        <v>95</v>
      </c>
      <c r="L24" s="23" t="n">
        <v>762000</v>
      </c>
      <c r="M24" s="23" t="n">
        <v>762000</v>
      </c>
      <c r="N24" s="25" t="n">
        <f aca="false">IF(J24="USD",L24,IF(J24="ARS",L24/Config!$B$2,0))</f>
        <v>0</v>
      </c>
      <c r="O24" s="26" t="n">
        <f aca="false">IF(J24="ARS",L24,IF(J24="USD",L24*Config!$B$2,0))</f>
        <v>0</v>
      </c>
    </row>
    <row r="25" customFormat="false" ht="64.5" hidden="false" customHeight="true" outlineLevel="0" collapsed="false">
      <c r="A25" s="23"/>
      <c r="B25" s="23" t="s">
        <v>117</v>
      </c>
      <c r="C25" s="24" t="n">
        <v>0</v>
      </c>
      <c r="D25" s="23" t="str">
        <f aca="false">IF(C25=0,"SIN STOCK",IF(AND(H25&gt;0,C25&lt;H25*Config!$B$3/100),"CRÍTICO",IF(AND(H25&gt;0,C25&lt;H25*0.5),"BAJO","OK")))</f>
        <v>SIN STOCK</v>
      </c>
      <c r="E25" s="23" t="s">
        <v>49</v>
      </c>
      <c r="F25" s="23" t="s">
        <v>115</v>
      </c>
      <c r="G25" s="27" t="s">
        <v>118</v>
      </c>
      <c r="I25" s="24"/>
      <c r="J25" s="24" t="n">
        <v>1</v>
      </c>
      <c r="K25" s="23" t="s">
        <v>95</v>
      </c>
      <c r="L25" s="23" t="n">
        <v>1457445</v>
      </c>
      <c r="M25" s="23" t="n">
        <v>1457445</v>
      </c>
      <c r="N25" s="25" t="n">
        <f aca="false">IF(J25="USD",L25,IF(J25="ARS",L25/Config!$B$2,0))</f>
        <v>0</v>
      </c>
      <c r="O25" s="26" t="n">
        <f aca="false">IF(J25="ARS",L25,IF(J25="USD",L25*Config!$B$2,0))</f>
        <v>0</v>
      </c>
    </row>
    <row r="26" customFormat="false" ht="64.5" hidden="false" customHeight="true" outlineLevel="0" collapsed="false">
      <c r="A26" s="23"/>
      <c r="B26" s="23" t="s">
        <v>119</v>
      </c>
      <c r="C26" s="24" t="n">
        <v>2</v>
      </c>
      <c r="D26" s="23" t="str">
        <f aca="false">IF(C26=0,"SIN STOCK",IF(AND(H26&gt;0,C26&lt;H26*Config!$B$3/100),"CRÍTICO",IF(AND(H26&gt;0,C26&lt;H26*0.5),"BAJO","OK")))</f>
        <v>OK</v>
      </c>
      <c r="E26" s="23" t="s">
        <v>39</v>
      </c>
      <c r="F26" s="23" t="s">
        <v>67</v>
      </c>
      <c r="G26" s="23" t="s">
        <v>120</v>
      </c>
      <c r="I26" s="24" t="n">
        <v>2</v>
      </c>
      <c r="J26" s="24" t="n">
        <v>2</v>
      </c>
      <c r="K26" s="23" t="s">
        <v>95</v>
      </c>
      <c r="L26" s="23" t="n">
        <v>491718.6</v>
      </c>
      <c r="M26" s="23" t="n">
        <v>491718.6</v>
      </c>
      <c r="N26" s="25" t="n">
        <f aca="false">IF(J26="USD",L26,IF(J26="ARS",L26/Config!$B$2,0))</f>
        <v>0</v>
      </c>
      <c r="O26" s="26" t="n">
        <f aca="false">IF(J26="ARS",L26,IF(J26="USD",L26*Config!$B$2,0))</f>
        <v>0</v>
      </c>
    </row>
    <row r="27" customFormat="false" ht="64.5" hidden="false" customHeight="true" outlineLevel="0" collapsed="false">
      <c r="A27" s="23"/>
      <c r="B27" s="23" t="s">
        <v>121</v>
      </c>
      <c r="C27" s="24" t="n">
        <v>0</v>
      </c>
      <c r="D27" s="23" t="str">
        <f aca="false">IF(C27=0,"SIN STOCK",IF(AND(H27&gt;0,C27&lt;H27*Config!$B$3/100),"CRÍTICO",IF(AND(H27&gt;0,C27&lt;H27*0.5),"BAJO","OK")))</f>
        <v>SIN STOCK</v>
      </c>
      <c r="E27" s="23" t="s">
        <v>39</v>
      </c>
      <c r="F27" s="23" t="s">
        <v>67</v>
      </c>
      <c r="G27" s="23" t="s">
        <v>120</v>
      </c>
      <c r="I27" s="24" t="n">
        <v>4</v>
      </c>
      <c r="J27" s="24" t="n">
        <v>2</v>
      </c>
      <c r="K27" s="23" t="s">
        <v>95</v>
      </c>
      <c r="L27" s="23" t="n">
        <v>1074496.2</v>
      </c>
      <c r="M27" s="23" t="n">
        <v>1074496.2</v>
      </c>
      <c r="N27" s="25" t="n">
        <f aca="false">IF(J27="USD",L27,IF(J27="ARS",L27/Config!$B$2,0))</f>
        <v>0</v>
      </c>
      <c r="O27" s="26" t="n">
        <f aca="false">IF(J27="ARS",L27,IF(J27="USD",L27*Config!$B$2,0))</f>
        <v>0</v>
      </c>
    </row>
    <row r="28" customFormat="false" ht="64.5" hidden="false" customHeight="true" outlineLevel="0" collapsed="false">
      <c r="A28" s="23"/>
      <c r="B28" s="23" t="s">
        <v>122</v>
      </c>
      <c r="C28" s="24" t="n">
        <v>0</v>
      </c>
      <c r="D28" s="23" t="str">
        <f aca="false">IF(C28=0,"SIN STOCK",IF(AND(H28&gt;0,C28&lt;H28*Config!$B$3/100),"CRÍTICO",IF(AND(H28&gt;0,C28&lt;H28*0.5),"BAJO","OK")))</f>
        <v>SIN STOCK</v>
      </c>
      <c r="E28" s="23" t="s">
        <v>39</v>
      </c>
      <c r="F28" s="23" t="s">
        <v>67</v>
      </c>
      <c r="G28" s="23" t="s">
        <v>120</v>
      </c>
      <c r="I28" s="24"/>
      <c r="J28" s="24" t="n">
        <v>4</v>
      </c>
      <c r="K28" s="23"/>
      <c r="L28" s="23"/>
      <c r="M28" s="23" t="n">
        <v>0</v>
      </c>
      <c r="N28" s="25" t="n">
        <f aca="false">IF(J28="USD",L28,IF(J28="ARS",L28/Config!$B$2,0))</f>
        <v>0</v>
      </c>
      <c r="O28" s="26" t="n">
        <f aca="false">IF(J28="ARS",L28,IF(J28="USD",L28*Config!$B$2,0))</f>
        <v>0</v>
      </c>
    </row>
    <row r="29" customFormat="false" ht="64.5" hidden="false" customHeight="true" outlineLevel="0" collapsed="false">
      <c r="A29" s="23"/>
      <c r="B29" s="23" t="s">
        <v>123</v>
      </c>
      <c r="C29" s="24" t="n">
        <v>8</v>
      </c>
      <c r="D29" s="23" t="str">
        <f aca="false">IF(C29=0,"SIN STOCK",IF(AND(H29&gt;0,C29&lt;H29*Config!$B$3/100),"CRÍTICO",IF(AND(H29&gt;0,C29&lt;H29*0.5),"BAJO","OK")))</f>
        <v>OK</v>
      </c>
      <c r="E29" s="23" t="s">
        <v>47</v>
      </c>
      <c r="F29" s="23" t="s">
        <v>106</v>
      </c>
      <c r="G29" s="27" t="s">
        <v>107</v>
      </c>
      <c r="I29" s="24" t="n">
        <v>10</v>
      </c>
      <c r="J29" s="24" t="n">
        <v>20</v>
      </c>
      <c r="K29" s="23" t="s">
        <v>95</v>
      </c>
      <c r="L29" s="23" t="n">
        <v>280000</v>
      </c>
      <c r="M29" s="23" t="n">
        <v>280000</v>
      </c>
      <c r="N29" s="25" t="n">
        <f aca="false">IF(J29="USD",L29,IF(J29="ARS",L29/Config!$B$2,0))</f>
        <v>0</v>
      </c>
      <c r="O29" s="26" t="n">
        <f aca="false">IF(J29="ARS",L29,IF(J29="USD",L29*Config!$B$2,0))</f>
        <v>0</v>
      </c>
    </row>
    <row r="30" customFormat="false" ht="64.5" hidden="false" customHeight="true" outlineLevel="0" collapsed="false">
      <c r="A30" s="23"/>
      <c r="B30" s="23" t="s">
        <v>124</v>
      </c>
      <c r="C30" s="24" t="n">
        <v>1</v>
      </c>
      <c r="D30" s="23" t="str">
        <f aca="false">IF(C30=0,"SIN STOCK",IF(AND(H30&gt;0,C30&lt;H30*Config!$B$3/100),"CRÍTICO",IF(AND(H30&gt;0,C30&lt;H30*0.5),"BAJO","OK")))</f>
        <v>OK</v>
      </c>
      <c r="E30" s="23" t="s">
        <v>46</v>
      </c>
      <c r="F30" s="23" t="s">
        <v>106</v>
      </c>
      <c r="G30" s="27" t="s">
        <v>107</v>
      </c>
      <c r="I30" s="24" t="n">
        <v>10</v>
      </c>
      <c r="J30" s="24" t="n">
        <v>20</v>
      </c>
      <c r="K30" s="23" t="s">
        <v>95</v>
      </c>
      <c r="L30" s="23" t="n">
        <v>277000</v>
      </c>
      <c r="M30" s="23" t="n">
        <v>277000</v>
      </c>
      <c r="N30" s="25" t="n">
        <f aca="false">IF(J30="USD",L30,IF(J30="ARS",L30/Config!$B$2,0))</f>
        <v>0</v>
      </c>
      <c r="O30" s="26" t="n">
        <f aca="false">IF(J30="ARS",L30,IF(J30="USD",L30*Config!$B$2,0))</f>
        <v>0</v>
      </c>
    </row>
  </sheetData>
  <mergeCells count="1">
    <mergeCell ref="A1:N1"/>
  </mergeCells>
  <conditionalFormatting sqref="D3:D30">
    <cfRule type="cellIs" priority="2" operator="equal" aboveAverage="0" equalAverage="0" bottom="0" percent="0" rank="0" text="" dxfId="0">
      <formula>"SIN STOCK"</formula>
    </cfRule>
    <cfRule type="cellIs" priority="3" operator="equal" aboveAverage="0" equalAverage="0" bottom="0" percent="0" rank="0" text="" dxfId="1">
      <formula>"CRÍTICO"</formula>
    </cfRule>
    <cfRule type="cellIs" priority="4" operator="equal" aboveAverage="0" equalAverage="0" bottom="0" percent="0" rank="0" text="" dxfId="2">
      <formula>"BAJO"</formula>
    </cfRule>
    <cfRule type="cellIs" priority="5" operator="equal" aboveAverage="0" equalAverage="0" bottom="0" percent="0" rank="0" text="" dxfId="3">
      <formula>"OK"</formula>
    </cfRule>
  </conditionalFormatting>
  <hyperlinks>
    <hyperlink ref="G20" r:id="rId1" display="https://conmil.com.ar/es/store/"/>
    <hyperlink ref="G21" r:id="rId2" display="https://conmil.com.ar/es/store/"/>
    <hyperlink ref="G22" r:id="rId3" location="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" display="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"/>
    <hyperlink ref="G23" r:id="rId4" location="polycard_client=search-desktop&amp;search_layout=grid&amp;position=3&amp;type=product&amp;tracking_id=3d0ed5ab-56be-47de-a74f-90d6ce9b7aa9&amp;wid=MLA915164043&amp;sid=search" display="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"/>
    <hyperlink ref="G25" r:id="rId5" display="https://conmil.com.ar/es/producto/cable-paciente-ecg---clip"/>
    <hyperlink ref="G29" r:id="rId6" display="https://conmil.com.ar/es/store/"/>
    <hyperlink ref="G30" r:id="rId7" display="https://conmil.com.ar/es/stor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26"/>
  </cols>
  <sheetData>
    <row r="1" customFormat="false" ht="17.25" hidden="false" customHeight="true" outlineLevel="0" collapsed="false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12" t="s">
        <v>126</v>
      </c>
      <c r="B2" s="12" t="s">
        <v>127</v>
      </c>
      <c r="C2" s="12" t="s">
        <v>53</v>
      </c>
      <c r="D2" s="12" t="s">
        <v>128</v>
      </c>
      <c r="E2" s="12" t="s">
        <v>129</v>
      </c>
      <c r="F2" s="12" t="s">
        <v>22</v>
      </c>
      <c r="G2" s="12" t="s">
        <v>130</v>
      </c>
      <c r="H2" s="12" t="s">
        <v>131</v>
      </c>
      <c r="I2" s="12" t="s">
        <v>132</v>
      </c>
      <c r="J2" s="12" t="s">
        <v>133</v>
      </c>
      <c r="K2" s="12" t="s">
        <v>134</v>
      </c>
    </row>
    <row r="3" customFormat="false" ht="15" hidden="false" customHeight="true" outlineLevel="0" collapsed="false">
      <c r="A3" s="16"/>
      <c r="B3" s="16"/>
      <c r="C3" s="16"/>
      <c r="D3" s="16"/>
      <c r="E3" s="16" t="str">
        <f aca="false">IF(D3="","",D3)</f>
        <v/>
      </c>
      <c r="F3" s="16"/>
      <c r="G3" s="16"/>
      <c r="H3" s="16"/>
      <c r="I3" s="17" t="n">
        <f aca="false">IFERROR(IF(C3="",0,VLOOKUP(C3,Stock!B:M,12,FALSE())*D3),0)</f>
        <v>0</v>
      </c>
      <c r="J3" s="18" t="n">
        <f aca="false">IFERROR(IF(C3="",0,VLOOKUP(C3,Stock!B:N,13,FALSE())*D3),0)</f>
        <v>0</v>
      </c>
      <c r="K3" s="16"/>
    </row>
    <row r="4" customFormat="false" ht="15" hidden="false" customHeight="true" outlineLevel="0" collapsed="false">
      <c r="A4" s="16"/>
      <c r="B4" s="16"/>
      <c r="C4" s="16"/>
      <c r="D4" s="16"/>
      <c r="E4" s="16" t="str">
        <f aca="false">IF(D4="","",D4)</f>
        <v/>
      </c>
      <c r="F4" s="16"/>
      <c r="G4" s="16"/>
      <c r="H4" s="16"/>
      <c r="I4" s="17" t="n">
        <f aca="false">IFERROR(IF(C4="",0,VLOOKUP(C4,Stock!B:M,12,FALSE())*D4),0)</f>
        <v>0</v>
      </c>
      <c r="J4" s="18" t="n">
        <f aca="false">IFERROR(IF(C4="",0,VLOOKUP(C4,Stock!B:N,13,FALSE())*D4),0)</f>
        <v>0</v>
      </c>
      <c r="K4" s="16"/>
    </row>
    <row r="5" customFormat="false" ht="15" hidden="false" customHeight="true" outlineLevel="0" collapsed="false">
      <c r="A5" s="16"/>
      <c r="B5" s="16"/>
      <c r="C5" s="16"/>
      <c r="D5" s="16"/>
      <c r="E5" s="16" t="str">
        <f aca="false">IF(D5="","",D5)</f>
        <v/>
      </c>
      <c r="F5" s="16"/>
      <c r="G5" s="16"/>
      <c r="H5" s="16"/>
      <c r="I5" s="17" t="n">
        <f aca="false">IFERROR(IF(C5="",0,VLOOKUP(C5,Stock!B:M,12,FALSE())*D5),0)</f>
        <v>0</v>
      </c>
      <c r="J5" s="18" t="n">
        <f aca="false">IFERROR(IF(C5="",0,VLOOKUP(C5,Stock!B:N,13,FALSE())*D5),0)</f>
        <v>0</v>
      </c>
      <c r="K5" s="16"/>
    </row>
    <row r="6" customFormat="false" ht="15" hidden="false" customHeight="true" outlineLevel="0" collapsed="false">
      <c r="A6" s="16"/>
      <c r="B6" s="16"/>
      <c r="C6" s="16"/>
      <c r="D6" s="16"/>
      <c r="E6" s="16" t="str">
        <f aca="false">IF(D6="","",D6)</f>
        <v/>
      </c>
      <c r="F6" s="16"/>
      <c r="G6" s="16"/>
      <c r="H6" s="16"/>
      <c r="I6" s="17" t="n">
        <f aca="false">IFERROR(IF(C6="",0,VLOOKUP(C6,Stock!B:M,12,FALSE())*D6),0)</f>
        <v>0</v>
      </c>
      <c r="J6" s="18" t="n">
        <f aca="false">IFERROR(IF(C6="",0,VLOOKUP(C6,Stock!B:N,13,FALSE())*D6),0)</f>
        <v>0</v>
      </c>
      <c r="K6" s="16"/>
    </row>
    <row r="7" customFormat="false" ht="15" hidden="false" customHeight="true" outlineLevel="0" collapsed="false">
      <c r="A7" s="16"/>
      <c r="B7" s="16"/>
      <c r="C7" s="16"/>
      <c r="D7" s="16"/>
      <c r="E7" s="16" t="str">
        <f aca="false">IF(D7="","",D7)</f>
        <v/>
      </c>
      <c r="F7" s="16"/>
      <c r="G7" s="16"/>
      <c r="H7" s="16"/>
      <c r="I7" s="17" t="n">
        <f aca="false">IFERROR(IF(C7="",0,VLOOKUP(C7,Stock!B:M,12,FALSE())*D7),0)</f>
        <v>0</v>
      </c>
      <c r="J7" s="18" t="n">
        <f aca="false">IFERROR(IF(C7="",0,VLOOKUP(C7,Stock!B:N,13,FALSE())*D7),0)</f>
        <v>0</v>
      </c>
      <c r="K7" s="16"/>
    </row>
    <row r="8" customFormat="false" ht="15" hidden="false" customHeight="true" outlineLevel="0" collapsed="false">
      <c r="A8" s="16"/>
      <c r="B8" s="16"/>
      <c r="C8" s="16"/>
      <c r="D8" s="16"/>
      <c r="E8" s="16" t="str">
        <f aca="false">IF(D8="","",D8)</f>
        <v/>
      </c>
      <c r="F8" s="16"/>
      <c r="G8" s="16"/>
      <c r="H8" s="16"/>
      <c r="I8" s="17" t="n">
        <f aca="false">IFERROR(IF(C8="",0,VLOOKUP(C8,Stock!B:M,12,FALSE())*D8),0)</f>
        <v>0</v>
      </c>
      <c r="J8" s="18" t="n">
        <f aca="false">IFERROR(IF(C8="",0,VLOOKUP(C8,Stock!B:N,13,FALSE())*D8),0)</f>
        <v>0</v>
      </c>
      <c r="K8" s="16"/>
    </row>
    <row r="9" customFormat="false" ht="15" hidden="false" customHeight="true" outlineLevel="0" collapsed="false">
      <c r="A9" s="16"/>
      <c r="B9" s="16"/>
      <c r="C9" s="16"/>
      <c r="D9" s="16"/>
      <c r="E9" s="16" t="str">
        <f aca="false">IF(D9="","",D9)</f>
        <v/>
      </c>
      <c r="F9" s="16"/>
      <c r="G9" s="16"/>
      <c r="H9" s="16"/>
      <c r="I9" s="17" t="n">
        <f aca="false">IFERROR(IF(C9="",0,VLOOKUP(C9,Stock!B:M,12,FALSE())*D9),0)</f>
        <v>0</v>
      </c>
      <c r="J9" s="18" t="n">
        <f aca="false">IFERROR(IF(C9="",0,VLOOKUP(C9,Stock!B:N,13,FALSE())*D9),0)</f>
        <v>0</v>
      </c>
      <c r="K9" s="16"/>
    </row>
    <row r="10" customFormat="false" ht="15" hidden="false" customHeight="true" outlineLevel="0" collapsed="false">
      <c r="A10" s="16"/>
      <c r="B10" s="16"/>
      <c r="C10" s="16"/>
      <c r="D10" s="16"/>
      <c r="E10" s="16" t="str">
        <f aca="false">IF(D10="","",D10)</f>
        <v/>
      </c>
      <c r="F10" s="16"/>
      <c r="G10" s="16"/>
      <c r="H10" s="16"/>
      <c r="I10" s="17" t="n">
        <f aca="false">IFERROR(IF(C10="",0,VLOOKUP(C10,Stock!B:M,12,FALSE())*D10),0)</f>
        <v>0</v>
      </c>
      <c r="J10" s="18" t="n">
        <f aca="false">IFERROR(IF(C10="",0,VLOOKUP(C10,Stock!B:N,13,FALSE())*D10),0)</f>
        <v>0</v>
      </c>
      <c r="K10" s="16"/>
    </row>
    <row r="11" customFormat="false" ht="15" hidden="false" customHeight="true" outlineLevel="0" collapsed="false">
      <c r="A11" s="16"/>
      <c r="B11" s="16"/>
      <c r="C11" s="16"/>
      <c r="D11" s="16"/>
      <c r="E11" s="16" t="str">
        <f aca="false">IF(D11="","",D11)</f>
        <v/>
      </c>
      <c r="F11" s="16"/>
      <c r="G11" s="16"/>
      <c r="H11" s="16"/>
      <c r="I11" s="17" t="n">
        <f aca="false">IFERROR(IF(C11="",0,VLOOKUP(C11,Stock!B:M,12,FALSE())*D11),0)</f>
        <v>0</v>
      </c>
      <c r="J11" s="18" t="n">
        <f aca="false">IFERROR(IF(C11="",0,VLOOKUP(C11,Stock!B:N,13,FALSE())*D11),0)</f>
        <v>0</v>
      </c>
      <c r="K11" s="16"/>
    </row>
    <row r="12" customFormat="false" ht="15" hidden="false" customHeight="true" outlineLevel="0" collapsed="false">
      <c r="A12" s="16"/>
      <c r="B12" s="16"/>
      <c r="C12" s="16"/>
      <c r="D12" s="16"/>
      <c r="E12" s="16" t="str">
        <f aca="false">IF(D12="","",D12)</f>
        <v/>
      </c>
      <c r="F12" s="16"/>
      <c r="G12" s="16"/>
      <c r="H12" s="16"/>
      <c r="I12" s="17" t="n">
        <f aca="false">IFERROR(IF(C12="",0,VLOOKUP(C12,Stock!B:M,12,FALSE())*D12),0)</f>
        <v>0</v>
      </c>
      <c r="J12" s="18" t="n">
        <f aca="false">IFERROR(IF(C12="",0,VLOOKUP(C12,Stock!B:N,13,FALSE())*D12),0)</f>
        <v>0</v>
      </c>
      <c r="K12" s="16"/>
    </row>
    <row r="13" customFormat="false" ht="15" hidden="false" customHeight="true" outlineLevel="0" collapsed="false">
      <c r="A13" s="16"/>
      <c r="B13" s="16"/>
      <c r="C13" s="16"/>
      <c r="D13" s="16"/>
      <c r="E13" s="16" t="str">
        <f aca="false">IF(D13="","",D13)</f>
        <v/>
      </c>
      <c r="F13" s="16"/>
      <c r="G13" s="16"/>
      <c r="H13" s="16"/>
      <c r="I13" s="17" t="n">
        <f aca="false">IFERROR(IF(C13="",0,VLOOKUP(C13,Stock!B:M,12,FALSE())*D13),0)</f>
        <v>0</v>
      </c>
      <c r="J13" s="18" t="n">
        <f aca="false">IFERROR(IF(C13="",0,VLOOKUP(C13,Stock!B:N,13,FALSE())*D13),0)</f>
        <v>0</v>
      </c>
      <c r="K13" s="16"/>
    </row>
    <row r="14" customFormat="false" ht="15" hidden="false" customHeight="true" outlineLevel="0" collapsed="false">
      <c r="A14" s="16"/>
      <c r="B14" s="16"/>
      <c r="C14" s="16"/>
      <c r="D14" s="16"/>
      <c r="E14" s="16" t="str">
        <f aca="false">IF(D14="","",D14)</f>
        <v/>
      </c>
      <c r="F14" s="16"/>
      <c r="G14" s="16"/>
      <c r="H14" s="16"/>
      <c r="I14" s="17" t="n">
        <f aca="false">IFERROR(IF(C14="",0,VLOOKUP(C14,Stock!B:M,12,FALSE())*D14),0)</f>
        <v>0</v>
      </c>
      <c r="J14" s="18" t="n">
        <f aca="false">IFERROR(IF(C14="",0,VLOOKUP(C14,Stock!B:N,13,FALSE())*D14),0)</f>
        <v>0</v>
      </c>
      <c r="K14" s="16"/>
    </row>
    <row r="15" customFormat="false" ht="15" hidden="false" customHeight="true" outlineLevel="0" collapsed="false">
      <c r="A15" s="16"/>
      <c r="B15" s="16"/>
      <c r="C15" s="16"/>
      <c r="D15" s="16"/>
      <c r="E15" s="16" t="str">
        <f aca="false">IF(D15="","",D15)</f>
        <v/>
      </c>
      <c r="F15" s="16"/>
      <c r="G15" s="16"/>
      <c r="H15" s="16"/>
      <c r="I15" s="17" t="n">
        <f aca="false">IFERROR(IF(C15="",0,VLOOKUP(C15,Stock!B:M,12,FALSE())*D15),0)</f>
        <v>0</v>
      </c>
      <c r="J15" s="18" t="n">
        <f aca="false">IFERROR(IF(C15="",0,VLOOKUP(C15,Stock!B:N,13,FALSE())*D15),0)</f>
        <v>0</v>
      </c>
      <c r="K15" s="16"/>
    </row>
    <row r="16" customFormat="false" ht="15" hidden="false" customHeight="true" outlineLevel="0" collapsed="false">
      <c r="A16" s="16"/>
      <c r="B16" s="16"/>
      <c r="C16" s="16"/>
      <c r="D16" s="16"/>
      <c r="E16" s="16" t="str">
        <f aca="false">IF(D16="","",D16)</f>
        <v/>
      </c>
      <c r="F16" s="16"/>
      <c r="G16" s="16"/>
      <c r="H16" s="16"/>
      <c r="I16" s="17" t="n">
        <f aca="false">IFERROR(IF(C16="",0,VLOOKUP(C16,Stock!B:M,12,FALSE())*D16),0)</f>
        <v>0</v>
      </c>
      <c r="J16" s="18" t="n">
        <f aca="false">IFERROR(IF(C16="",0,VLOOKUP(C16,Stock!B:N,13,FALSE())*D16),0)</f>
        <v>0</v>
      </c>
      <c r="K16" s="16"/>
    </row>
    <row r="17" customFormat="false" ht="15" hidden="false" customHeight="true" outlineLevel="0" collapsed="false">
      <c r="A17" s="16"/>
      <c r="B17" s="16"/>
      <c r="C17" s="16"/>
      <c r="D17" s="16"/>
      <c r="E17" s="16" t="str">
        <f aca="false">IF(D17="","",D17)</f>
        <v/>
      </c>
      <c r="F17" s="16"/>
      <c r="G17" s="16"/>
      <c r="H17" s="16"/>
      <c r="I17" s="17" t="n">
        <f aca="false">IFERROR(IF(C17="",0,VLOOKUP(C17,Stock!B:M,12,FALSE())*D17),0)</f>
        <v>0</v>
      </c>
      <c r="J17" s="18" t="n">
        <f aca="false">IFERROR(IF(C17="",0,VLOOKUP(C17,Stock!B:N,13,FALSE())*D17),0)</f>
        <v>0</v>
      </c>
      <c r="K17" s="16"/>
    </row>
    <row r="18" customFormat="false" ht="15" hidden="false" customHeight="true" outlineLevel="0" collapsed="false">
      <c r="A18" s="16"/>
      <c r="B18" s="16"/>
      <c r="C18" s="16"/>
      <c r="D18" s="16"/>
      <c r="E18" s="16" t="str">
        <f aca="false">IF(D18="","",D18)</f>
        <v/>
      </c>
      <c r="F18" s="16"/>
      <c r="G18" s="16"/>
      <c r="H18" s="16"/>
      <c r="I18" s="17" t="n">
        <f aca="false">IFERROR(IF(C18="",0,VLOOKUP(C18,Stock!B:M,12,FALSE())*D18),0)</f>
        <v>0</v>
      </c>
      <c r="J18" s="18" t="n">
        <f aca="false">IFERROR(IF(C18="",0,VLOOKUP(C18,Stock!B:N,13,FALSE())*D18),0)</f>
        <v>0</v>
      </c>
      <c r="K18" s="16"/>
    </row>
    <row r="19" customFormat="false" ht="15" hidden="false" customHeight="true" outlineLevel="0" collapsed="false">
      <c r="A19" s="16"/>
      <c r="B19" s="16"/>
      <c r="C19" s="16"/>
      <c r="D19" s="16"/>
      <c r="E19" s="16" t="str">
        <f aca="false">IF(D19="","",D19)</f>
        <v/>
      </c>
      <c r="F19" s="16"/>
      <c r="G19" s="16"/>
      <c r="H19" s="16"/>
      <c r="I19" s="17" t="n">
        <f aca="false">IFERROR(IF(C19="",0,VLOOKUP(C19,Stock!B:M,12,FALSE())*D19),0)</f>
        <v>0</v>
      </c>
      <c r="J19" s="18" t="n">
        <f aca="false">IFERROR(IF(C19="",0,VLOOKUP(C19,Stock!B:N,13,FALSE())*D19),0)</f>
        <v>0</v>
      </c>
      <c r="K19" s="16"/>
    </row>
    <row r="20" customFormat="false" ht="15" hidden="false" customHeight="true" outlineLevel="0" collapsed="false">
      <c r="A20" s="16"/>
      <c r="B20" s="16"/>
      <c r="C20" s="16"/>
      <c r="D20" s="16"/>
      <c r="E20" s="16" t="str">
        <f aca="false">IF(D20="","",D20)</f>
        <v/>
      </c>
      <c r="F20" s="16"/>
      <c r="G20" s="16"/>
      <c r="H20" s="16"/>
      <c r="I20" s="17" t="n">
        <f aca="false">IFERROR(IF(C20="",0,VLOOKUP(C20,Stock!B:M,12,FALSE())*D20),0)</f>
        <v>0</v>
      </c>
      <c r="J20" s="18" t="n">
        <f aca="false">IFERROR(IF(C20="",0,VLOOKUP(C20,Stock!B:N,13,FALSE())*D20),0)</f>
        <v>0</v>
      </c>
      <c r="K20" s="16"/>
    </row>
    <row r="21" customFormat="false" ht="15" hidden="false" customHeight="true" outlineLevel="0" collapsed="false">
      <c r="A21" s="16"/>
      <c r="B21" s="16"/>
      <c r="C21" s="16"/>
      <c r="D21" s="16"/>
      <c r="E21" s="16" t="str">
        <f aca="false">IF(D21="","",D21)</f>
        <v/>
      </c>
      <c r="F21" s="16"/>
      <c r="G21" s="16"/>
      <c r="H21" s="16"/>
      <c r="I21" s="17" t="n">
        <f aca="false">IFERROR(IF(C21="",0,VLOOKUP(C21,Stock!B:M,12,FALSE())*D21),0)</f>
        <v>0</v>
      </c>
      <c r="J21" s="18" t="n">
        <f aca="false">IFERROR(IF(C21="",0,VLOOKUP(C21,Stock!B:N,13,FALSE())*D21),0)</f>
        <v>0</v>
      </c>
      <c r="K21" s="16"/>
    </row>
    <row r="22" customFormat="false" ht="15" hidden="false" customHeight="true" outlineLevel="0" collapsed="false">
      <c r="A22" s="16"/>
      <c r="B22" s="16"/>
      <c r="C22" s="16"/>
      <c r="D22" s="16"/>
      <c r="E22" s="16" t="str">
        <f aca="false">IF(D22="","",D22)</f>
        <v/>
      </c>
      <c r="F22" s="16"/>
      <c r="G22" s="16"/>
      <c r="H22" s="16"/>
      <c r="I22" s="17" t="n">
        <f aca="false">IFERROR(IF(C22="",0,VLOOKUP(C22,Stock!B:M,12,FALSE())*D22),0)</f>
        <v>0</v>
      </c>
      <c r="J22" s="18" t="n">
        <f aca="false">IFERROR(IF(C22="",0,VLOOKUP(C22,Stock!B:N,13,FALSE())*D22),0)</f>
        <v>0</v>
      </c>
      <c r="K22" s="16"/>
    </row>
    <row r="23" customFormat="false" ht="15" hidden="false" customHeight="true" outlineLevel="0" collapsed="false">
      <c r="A23" s="16"/>
      <c r="B23" s="16"/>
      <c r="C23" s="16"/>
      <c r="D23" s="16"/>
      <c r="E23" s="16" t="str">
        <f aca="false">IF(D23="","",D23)</f>
        <v/>
      </c>
      <c r="F23" s="16"/>
      <c r="G23" s="16"/>
      <c r="H23" s="16"/>
      <c r="I23" s="17" t="n">
        <f aca="false">IFERROR(IF(C23="",0,VLOOKUP(C23,Stock!B:M,12,FALSE())*D23),0)</f>
        <v>0</v>
      </c>
      <c r="J23" s="18" t="n">
        <f aca="false">IFERROR(IF(C23="",0,VLOOKUP(C23,Stock!B:N,13,FALSE())*D23),0)</f>
        <v>0</v>
      </c>
      <c r="K23" s="16"/>
    </row>
    <row r="24" customFormat="false" ht="15" hidden="false" customHeight="true" outlineLevel="0" collapsed="false">
      <c r="A24" s="16"/>
      <c r="B24" s="16"/>
      <c r="C24" s="16"/>
      <c r="D24" s="16"/>
      <c r="E24" s="16" t="str">
        <f aca="false">IF(D24="","",D24)</f>
        <v/>
      </c>
      <c r="F24" s="16"/>
      <c r="G24" s="16"/>
      <c r="H24" s="16"/>
      <c r="I24" s="17" t="n">
        <f aca="false">IFERROR(IF(C24="",0,VLOOKUP(C24,Stock!B:M,12,FALSE())*D24),0)</f>
        <v>0</v>
      </c>
      <c r="J24" s="18" t="n">
        <f aca="false">IFERROR(IF(C24="",0,VLOOKUP(C24,Stock!B:N,13,FALSE())*D24),0)</f>
        <v>0</v>
      </c>
      <c r="K24" s="16"/>
    </row>
    <row r="25" customFormat="false" ht="15" hidden="false" customHeight="true" outlineLevel="0" collapsed="false">
      <c r="A25" s="16"/>
      <c r="B25" s="16"/>
      <c r="C25" s="16"/>
      <c r="D25" s="16"/>
      <c r="E25" s="16" t="str">
        <f aca="false">IF(D25="","",D25)</f>
        <v/>
      </c>
      <c r="F25" s="16"/>
      <c r="G25" s="16"/>
      <c r="H25" s="16"/>
      <c r="I25" s="17" t="n">
        <f aca="false">IFERROR(IF(C25="",0,VLOOKUP(C25,Stock!B:M,12,FALSE())*D25),0)</f>
        <v>0</v>
      </c>
      <c r="J25" s="18" t="n">
        <f aca="false">IFERROR(IF(C25="",0,VLOOKUP(C25,Stock!B:N,13,FALSE())*D25),0)</f>
        <v>0</v>
      </c>
      <c r="K25" s="16"/>
    </row>
    <row r="26" customFormat="false" ht="15" hidden="false" customHeight="true" outlineLevel="0" collapsed="false">
      <c r="A26" s="16"/>
      <c r="B26" s="16"/>
      <c r="C26" s="16"/>
      <c r="D26" s="16"/>
      <c r="E26" s="16" t="str">
        <f aca="false">IF(D26="","",D26)</f>
        <v/>
      </c>
      <c r="F26" s="16"/>
      <c r="G26" s="16"/>
      <c r="H26" s="16"/>
      <c r="I26" s="17" t="n">
        <f aca="false">IFERROR(IF(C26="",0,VLOOKUP(C26,Stock!B:M,12,FALSE())*D26),0)</f>
        <v>0</v>
      </c>
      <c r="J26" s="18" t="n">
        <f aca="false">IFERROR(IF(C26="",0,VLOOKUP(C26,Stock!B:N,13,FALSE())*D26),0)</f>
        <v>0</v>
      </c>
      <c r="K26" s="16"/>
    </row>
    <row r="27" customFormat="false" ht="15" hidden="false" customHeight="true" outlineLevel="0" collapsed="false">
      <c r="A27" s="16"/>
      <c r="B27" s="16"/>
      <c r="C27" s="16"/>
      <c r="D27" s="16"/>
      <c r="E27" s="16" t="str">
        <f aca="false">IF(D27="","",D27)</f>
        <v/>
      </c>
      <c r="F27" s="16"/>
      <c r="G27" s="16"/>
      <c r="H27" s="16"/>
      <c r="I27" s="17" t="n">
        <f aca="false">IFERROR(IF(C27="",0,VLOOKUP(C27,Stock!B:M,12,FALSE())*D27),0)</f>
        <v>0</v>
      </c>
      <c r="J27" s="18" t="n">
        <f aca="false">IFERROR(IF(C27="",0,VLOOKUP(C27,Stock!B:N,13,FALSE())*D27),0)</f>
        <v>0</v>
      </c>
      <c r="K27" s="16"/>
    </row>
    <row r="28" customFormat="false" ht="15" hidden="false" customHeight="true" outlineLevel="0" collapsed="false">
      <c r="A28" s="16"/>
      <c r="B28" s="16"/>
      <c r="C28" s="16"/>
      <c r="D28" s="16"/>
      <c r="E28" s="16" t="str">
        <f aca="false">IF(D28="","",D28)</f>
        <v/>
      </c>
      <c r="F28" s="16"/>
      <c r="G28" s="16"/>
      <c r="H28" s="16"/>
      <c r="I28" s="17" t="n">
        <f aca="false">IFERROR(IF(C28="",0,VLOOKUP(C28,Stock!B:M,12,FALSE())*D28),0)</f>
        <v>0</v>
      </c>
      <c r="J28" s="18" t="n">
        <f aca="false">IFERROR(IF(C28="",0,VLOOKUP(C28,Stock!B:N,13,FALSE())*D28),0)</f>
        <v>0</v>
      </c>
      <c r="K28" s="16"/>
    </row>
    <row r="29" customFormat="false" ht="15" hidden="false" customHeight="true" outlineLevel="0" collapsed="false">
      <c r="A29" s="16"/>
      <c r="B29" s="16"/>
      <c r="C29" s="16"/>
      <c r="D29" s="16"/>
      <c r="E29" s="16" t="str">
        <f aca="false">IF(D29="","",D29)</f>
        <v/>
      </c>
      <c r="F29" s="16"/>
      <c r="G29" s="16"/>
      <c r="H29" s="16"/>
      <c r="I29" s="17" t="n">
        <f aca="false">IFERROR(IF(C29="",0,VLOOKUP(C29,Stock!B:M,12,FALSE())*D29),0)</f>
        <v>0</v>
      </c>
      <c r="J29" s="18" t="n">
        <f aca="false">IFERROR(IF(C29="",0,VLOOKUP(C29,Stock!B:N,13,FALSE())*D29),0)</f>
        <v>0</v>
      </c>
      <c r="K29" s="16"/>
    </row>
    <row r="30" customFormat="false" ht="15" hidden="false" customHeight="true" outlineLevel="0" collapsed="false">
      <c r="A30" s="16"/>
      <c r="B30" s="16"/>
      <c r="C30" s="16"/>
      <c r="D30" s="16"/>
      <c r="E30" s="16" t="str">
        <f aca="false">IF(D30="","",D30)</f>
        <v/>
      </c>
      <c r="F30" s="16"/>
      <c r="G30" s="16"/>
      <c r="H30" s="16"/>
      <c r="I30" s="17" t="n">
        <f aca="false">IFERROR(IF(C30="",0,VLOOKUP(C30,Stock!B:M,12,FALSE())*D30),0)</f>
        <v>0</v>
      </c>
      <c r="J30" s="18" t="n">
        <f aca="false">IFERROR(IF(C30="",0,VLOOKUP(C30,Stock!B:N,13,FALSE())*D30),0)</f>
        <v>0</v>
      </c>
      <c r="K30" s="16"/>
    </row>
    <row r="31" customFormat="false" ht="15" hidden="false" customHeight="true" outlineLevel="0" collapsed="false">
      <c r="A31" s="16"/>
      <c r="B31" s="16"/>
      <c r="C31" s="16"/>
      <c r="D31" s="16"/>
      <c r="E31" s="16" t="str">
        <f aca="false">IF(D31="","",D31)</f>
        <v/>
      </c>
      <c r="F31" s="16"/>
      <c r="G31" s="16"/>
      <c r="H31" s="16"/>
      <c r="I31" s="17" t="n">
        <f aca="false">IFERROR(IF(C31="",0,VLOOKUP(C31,Stock!B:M,12,FALSE())*D31),0)</f>
        <v>0</v>
      </c>
      <c r="J31" s="18" t="n">
        <f aca="false">IFERROR(IF(C31="",0,VLOOKUP(C31,Stock!B:N,13,FALSE())*D31),0)</f>
        <v>0</v>
      </c>
      <c r="K31" s="16"/>
    </row>
    <row r="32" customFormat="false" ht="15" hidden="false" customHeight="true" outlineLevel="0" collapsed="false">
      <c r="A32" s="16"/>
      <c r="B32" s="16"/>
      <c r="C32" s="16"/>
      <c r="D32" s="16"/>
      <c r="E32" s="16" t="str">
        <f aca="false">IF(D32="","",D32)</f>
        <v/>
      </c>
      <c r="F32" s="16"/>
      <c r="G32" s="16"/>
      <c r="H32" s="16"/>
      <c r="I32" s="17" t="n">
        <f aca="false">IFERROR(IF(C32="",0,VLOOKUP(C32,Stock!B:M,12,FALSE())*D32),0)</f>
        <v>0</v>
      </c>
      <c r="J32" s="18" t="n">
        <f aca="false">IFERROR(IF(C32="",0,VLOOKUP(C32,Stock!B:N,13,FALSE())*D32),0)</f>
        <v>0</v>
      </c>
      <c r="K32" s="16"/>
    </row>
    <row r="33" customFormat="false" ht="15" hidden="false" customHeight="true" outlineLevel="0" collapsed="false">
      <c r="A33" s="16"/>
      <c r="B33" s="16"/>
      <c r="C33" s="16"/>
      <c r="D33" s="16"/>
      <c r="E33" s="16" t="str">
        <f aca="false">IF(D33="","",D33)</f>
        <v/>
      </c>
      <c r="F33" s="16"/>
      <c r="G33" s="16"/>
      <c r="H33" s="16"/>
      <c r="I33" s="17" t="n">
        <f aca="false">IFERROR(IF(C33="",0,VLOOKUP(C33,Stock!B:M,12,FALSE())*D33),0)</f>
        <v>0</v>
      </c>
      <c r="J33" s="18" t="n">
        <f aca="false">IFERROR(IF(C33="",0,VLOOKUP(C33,Stock!B:N,13,FALSE())*D33),0)</f>
        <v>0</v>
      </c>
      <c r="K33" s="16"/>
    </row>
    <row r="34" customFormat="false" ht="15" hidden="false" customHeight="true" outlineLevel="0" collapsed="false">
      <c r="A34" s="16"/>
      <c r="B34" s="16"/>
      <c r="C34" s="16"/>
      <c r="D34" s="16"/>
      <c r="E34" s="16" t="str">
        <f aca="false">IF(D34="","",D34)</f>
        <v/>
      </c>
      <c r="F34" s="16"/>
      <c r="G34" s="16"/>
      <c r="H34" s="16"/>
      <c r="I34" s="17" t="n">
        <f aca="false">IFERROR(IF(C34="",0,VLOOKUP(C34,Stock!B:M,12,FALSE())*D34),0)</f>
        <v>0</v>
      </c>
      <c r="J34" s="18" t="n">
        <f aca="false">IFERROR(IF(C34="",0,VLOOKUP(C34,Stock!B:N,13,FALSE())*D34),0)</f>
        <v>0</v>
      </c>
      <c r="K34" s="16"/>
    </row>
    <row r="35" customFormat="false" ht="15" hidden="false" customHeight="true" outlineLevel="0" collapsed="false">
      <c r="A35" s="16"/>
      <c r="B35" s="16"/>
      <c r="C35" s="16"/>
      <c r="D35" s="16"/>
      <c r="E35" s="16" t="str">
        <f aca="false">IF(D35="","",D35)</f>
        <v/>
      </c>
      <c r="F35" s="16"/>
      <c r="G35" s="16"/>
      <c r="H35" s="16"/>
      <c r="I35" s="17" t="n">
        <f aca="false">IFERROR(IF(C35="",0,VLOOKUP(C35,Stock!B:M,12,FALSE())*D35),0)</f>
        <v>0</v>
      </c>
      <c r="J35" s="18" t="n">
        <f aca="false">IFERROR(IF(C35="",0,VLOOKUP(C35,Stock!B:N,13,FALSE())*D35),0)</f>
        <v>0</v>
      </c>
      <c r="K35" s="16"/>
    </row>
    <row r="36" customFormat="false" ht="15" hidden="false" customHeight="true" outlineLevel="0" collapsed="false">
      <c r="A36" s="16"/>
      <c r="B36" s="16"/>
      <c r="C36" s="16"/>
      <c r="D36" s="16"/>
      <c r="E36" s="16" t="str">
        <f aca="false">IF(D36="","",D36)</f>
        <v/>
      </c>
      <c r="F36" s="16"/>
      <c r="G36" s="16"/>
      <c r="H36" s="16"/>
      <c r="I36" s="17" t="n">
        <f aca="false">IFERROR(IF(C36="",0,VLOOKUP(C36,Stock!B:M,12,FALSE())*D36),0)</f>
        <v>0</v>
      </c>
      <c r="J36" s="18" t="n">
        <f aca="false">IFERROR(IF(C36="",0,VLOOKUP(C36,Stock!B:N,13,FALSE())*D36),0)</f>
        <v>0</v>
      </c>
      <c r="K36" s="16"/>
    </row>
    <row r="37" customFormat="false" ht="15" hidden="false" customHeight="true" outlineLevel="0" collapsed="false">
      <c r="A37" s="16"/>
      <c r="B37" s="16"/>
      <c r="C37" s="16"/>
      <c r="D37" s="16"/>
      <c r="E37" s="16" t="str">
        <f aca="false">IF(D37="","",D37)</f>
        <v/>
      </c>
      <c r="F37" s="16"/>
      <c r="G37" s="16"/>
      <c r="H37" s="16"/>
      <c r="I37" s="17" t="n">
        <f aca="false">IFERROR(IF(C37="",0,VLOOKUP(C37,Stock!B:M,12,FALSE())*D37),0)</f>
        <v>0</v>
      </c>
      <c r="J37" s="18" t="n">
        <f aca="false">IFERROR(IF(C37="",0,VLOOKUP(C37,Stock!B:N,13,FALSE())*D37),0)</f>
        <v>0</v>
      </c>
      <c r="K37" s="16"/>
    </row>
    <row r="38" customFormat="false" ht="15" hidden="false" customHeight="true" outlineLevel="0" collapsed="false">
      <c r="A38" s="16"/>
      <c r="B38" s="16"/>
      <c r="C38" s="16"/>
      <c r="D38" s="16"/>
      <c r="E38" s="16" t="str">
        <f aca="false">IF(D38="","",D38)</f>
        <v/>
      </c>
      <c r="F38" s="16"/>
      <c r="G38" s="16"/>
      <c r="H38" s="16"/>
      <c r="I38" s="17" t="n">
        <f aca="false">IFERROR(IF(C38="",0,VLOOKUP(C38,Stock!B:M,12,FALSE())*D38),0)</f>
        <v>0</v>
      </c>
      <c r="J38" s="18" t="n">
        <f aca="false">IFERROR(IF(C38="",0,VLOOKUP(C38,Stock!B:N,13,FALSE())*D38),0)</f>
        <v>0</v>
      </c>
      <c r="K38" s="16"/>
    </row>
    <row r="39" customFormat="false" ht="15" hidden="false" customHeight="true" outlineLevel="0" collapsed="false">
      <c r="A39" s="16"/>
      <c r="B39" s="16"/>
      <c r="C39" s="16"/>
      <c r="D39" s="16"/>
      <c r="E39" s="16" t="str">
        <f aca="false">IF(D39="","",D39)</f>
        <v/>
      </c>
      <c r="F39" s="16"/>
      <c r="G39" s="16"/>
      <c r="H39" s="16"/>
      <c r="I39" s="17" t="n">
        <f aca="false">IFERROR(IF(C39="",0,VLOOKUP(C39,Stock!B:M,12,FALSE())*D39),0)</f>
        <v>0</v>
      </c>
      <c r="J39" s="18" t="n">
        <f aca="false">IFERROR(IF(C39="",0,VLOOKUP(C39,Stock!B:N,13,FALSE())*D39),0)</f>
        <v>0</v>
      </c>
      <c r="K39" s="16"/>
    </row>
    <row r="40" customFormat="false" ht="15" hidden="false" customHeight="true" outlineLevel="0" collapsed="false">
      <c r="A40" s="16"/>
      <c r="B40" s="16"/>
      <c r="C40" s="16"/>
      <c r="D40" s="16"/>
      <c r="E40" s="16" t="str">
        <f aca="false">IF(D40="","",D40)</f>
        <v/>
      </c>
      <c r="F40" s="16"/>
      <c r="G40" s="16"/>
      <c r="H40" s="16"/>
      <c r="I40" s="17" t="n">
        <f aca="false">IFERROR(IF(C40="",0,VLOOKUP(C40,Stock!B:M,12,FALSE())*D40),0)</f>
        <v>0</v>
      </c>
      <c r="J40" s="18" t="n">
        <f aca="false">IFERROR(IF(C40="",0,VLOOKUP(C40,Stock!B:N,13,FALSE())*D40),0)</f>
        <v>0</v>
      </c>
      <c r="K40" s="16"/>
    </row>
    <row r="41" customFormat="false" ht="15" hidden="false" customHeight="true" outlineLevel="0" collapsed="false">
      <c r="A41" s="16"/>
      <c r="B41" s="16"/>
      <c r="C41" s="16"/>
      <c r="D41" s="16"/>
      <c r="E41" s="16" t="str">
        <f aca="false">IF(D41="","",D41)</f>
        <v/>
      </c>
      <c r="F41" s="16"/>
      <c r="G41" s="16"/>
      <c r="H41" s="16"/>
      <c r="I41" s="17" t="n">
        <f aca="false">IFERROR(IF(C41="",0,VLOOKUP(C41,Stock!B:M,12,FALSE())*D41),0)</f>
        <v>0</v>
      </c>
      <c r="J41" s="18" t="n">
        <f aca="false">IFERROR(IF(C41="",0,VLOOKUP(C41,Stock!B:N,13,FALSE())*D41),0)</f>
        <v>0</v>
      </c>
      <c r="K41" s="16"/>
    </row>
    <row r="42" customFormat="false" ht="15" hidden="false" customHeight="true" outlineLevel="0" collapsed="false">
      <c r="A42" s="16"/>
      <c r="B42" s="16"/>
      <c r="C42" s="16"/>
      <c r="D42" s="16"/>
      <c r="E42" s="16" t="str">
        <f aca="false">IF(D42="","",D42)</f>
        <v/>
      </c>
      <c r="F42" s="16"/>
      <c r="G42" s="16"/>
      <c r="H42" s="16"/>
      <c r="I42" s="17" t="n">
        <f aca="false">IFERROR(IF(C42="",0,VLOOKUP(C42,Stock!B:M,12,FALSE())*D42),0)</f>
        <v>0</v>
      </c>
      <c r="J42" s="18" t="n">
        <f aca="false">IFERROR(IF(C42="",0,VLOOKUP(C42,Stock!B:N,13,FALSE())*D42),0)</f>
        <v>0</v>
      </c>
      <c r="K42" s="16"/>
    </row>
    <row r="43" customFormat="false" ht="15" hidden="false" customHeight="true" outlineLevel="0" collapsed="false">
      <c r="A43" s="16"/>
      <c r="B43" s="16"/>
      <c r="C43" s="16"/>
      <c r="D43" s="16"/>
      <c r="E43" s="16" t="str">
        <f aca="false">IF(D43="","",D43)</f>
        <v/>
      </c>
      <c r="F43" s="16"/>
      <c r="G43" s="16"/>
      <c r="H43" s="16"/>
      <c r="I43" s="17" t="n">
        <f aca="false">IFERROR(IF(C43="",0,VLOOKUP(C43,Stock!B:M,12,FALSE())*D43),0)</f>
        <v>0</v>
      </c>
      <c r="J43" s="18" t="n">
        <f aca="false">IFERROR(IF(C43="",0,VLOOKUP(C43,Stock!B:N,13,FALSE())*D43),0)</f>
        <v>0</v>
      </c>
      <c r="K43" s="16"/>
    </row>
    <row r="44" customFormat="false" ht="15" hidden="false" customHeight="true" outlineLevel="0" collapsed="false">
      <c r="A44" s="16"/>
      <c r="B44" s="16"/>
      <c r="C44" s="16"/>
      <c r="D44" s="16"/>
      <c r="E44" s="16" t="str">
        <f aca="false">IF(D44="","",D44)</f>
        <v/>
      </c>
      <c r="F44" s="16"/>
      <c r="G44" s="16"/>
      <c r="H44" s="16"/>
      <c r="I44" s="17" t="n">
        <f aca="false">IFERROR(IF(C44="",0,VLOOKUP(C44,Stock!B:M,12,FALSE())*D44),0)</f>
        <v>0</v>
      </c>
      <c r="J44" s="18" t="n">
        <f aca="false">IFERROR(IF(C44="",0,VLOOKUP(C44,Stock!B:N,13,FALSE())*D44),0)</f>
        <v>0</v>
      </c>
      <c r="K44" s="16"/>
    </row>
    <row r="45" customFormat="false" ht="15" hidden="false" customHeight="true" outlineLevel="0" collapsed="false">
      <c r="A45" s="16"/>
      <c r="B45" s="16"/>
      <c r="C45" s="16"/>
      <c r="D45" s="16"/>
      <c r="E45" s="16" t="str">
        <f aca="false">IF(D45="","",D45)</f>
        <v/>
      </c>
      <c r="F45" s="16"/>
      <c r="G45" s="16"/>
      <c r="H45" s="16"/>
      <c r="I45" s="17" t="n">
        <f aca="false">IFERROR(IF(C45="",0,VLOOKUP(C45,Stock!B:M,12,FALSE())*D45),0)</f>
        <v>0</v>
      </c>
      <c r="J45" s="18" t="n">
        <f aca="false">IFERROR(IF(C45="",0,VLOOKUP(C45,Stock!B:N,13,FALSE())*D45),0)</f>
        <v>0</v>
      </c>
      <c r="K45" s="16"/>
    </row>
    <row r="46" customFormat="false" ht="15" hidden="false" customHeight="true" outlineLevel="0" collapsed="false">
      <c r="A46" s="16"/>
      <c r="B46" s="16"/>
      <c r="C46" s="16"/>
      <c r="D46" s="16"/>
      <c r="E46" s="16" t="str">
        <f aca="false">IF(D46="","",D46)</f>
        <v/>
      </c>
      <c r="F46" s="16"/>
      <c r="G46" s="16"/>
      <c r="H46" s="16"/>
      <c r="I46" s="17" t="n">
        <f aca="false">IFERROR(IF(C46="",0,VLOOKUP(C46,Stock!B:M,12,FALSE())*D46),0)</f>
        <v>0</v>
      </c>
      <c r="J46" s="18" t="n">
        <f aca="false">IFERROR(IF(C46="",0,VLOOKUP(C46,Stock!B:N,13,FALSE())*D46),0)</f>
        <v>0</v>
      </c>
      <c r="K46" s="16"/>
    </row>
    <row r="47" customFormat="false" ht="15" hidden="false" customHeight="true" outlineLevel="0" collapsed="false">
      <c r="A47" s="16"/>
      <c r="B47" s="16"/>
      <c r="C47" s="16"/>
      <c r="D47" s="16"/>
      <c r="E47" s="16" t="str">
        <f aca="false">IF(D47="","",D47)</f>
        <v/>
      </c>
      <c r="F47" s="16"/>
      <c r="G47" s="16"/>
      <c r="H47" s="16"/>
      <c r="I47" s="17" t="n">
        <f aca="false">IFERROR(IF(C47="",0,VLOOKUP(C47,Stock!B:M,12,FALSE())*D47),0)</f>
        <v>0</v>
      </c>
      <c r="J47" s="18" t="n">
        <f aca="false">IFERROR(IF(C47="",0,VLOOKUP(C47,Stock!B:N,13,FALSE())*D47),0)</f>
        <v>0</v>
      </c>
      <c r="K47" s="16"/>
    </row>
    <row r="48" customFormat="false" ht="15" hidden="false" customHeight="true" outlineLevel="0" collapsed="false">
      <c r="A48" s="16"/>
      <c r="B48" s="16"/>
      <c r="C48" s="16"/>
      <c r="D48" s="16"/>
      <c r="E48" s="16" t="str">
        <f aca="false">IF(D48="","",D48)</f>
        <v/>
      </c>
      <c r="F48" s="16"/>
      <c r="G48" s="16"/>
      <c r="H48" s="16"/>
      <c r="I48" s="17" t="n">
        <f aca="false">IFERROR(IF(C48="",0,VLOOKUP(C48,Stock!B:M,12,FALSE())*D48),0)</f>
        <v>0</v>
      </c>
      <c r="J48" s="18" t="n">
        <f aca="false">IFERROR(IF(C48="",0,VLOOKUP(C48,Stock!B:N,13,FALSE())*D48),0)</f>
        <v>0</v>
      </c>
      <c r="K48" s="16"/>
    </row>
    <row r="49" customFormat="false" ht="15" hidden="false" customHeight="true" outlineLevel="0" collapsed="false">
      <c r="A49" s="16"/>
      <c r="B49" s="16"/>
      <c r="C49" s="16"/>
      <c r="D49" s="16"/>
      <c r="E49" s="16" t="str">
        <f aca="false">IF(D49="","",D49)</f>
        <v/>
      </c>
      <c r="F49" s="16"/>
      <c r="G49" s="16"/>
      <c r="H49" s="16"/>
      <c r="I49" s="17" t="n">
        <f aca="false">IFERROR(IF(C49="",0,VLOOKUP(C49,Stock!B:M,12,FALSE())*D49),0)</f>
        <v>0</v>
      </c>
      <c r="J49" s="18" t="n">
        <f aca="false">IFERROR(IF(C49="",0,VLOOKUP(C49,Stock!B:N,13,FALSE())*D49),0)</f>
        <v>0</v>
      </c>
      <c r="K49" s="16"/>
    </row>
    <row r="50" customFormat="false" ht="15" hidden="false" customHeight="true" outlineLevel="0" collapsed="false">
      <c r="A50" s="16"/>
      <c r="B50" s="16"/>
      <c r="C50" s="16"/>
      <c r="D50" s="16"/>
      <c r="E50" s="16" t="str">
        <f aca="false">IF(D50="","",D50)</f>
        <v/>
      </c>
      <c r="F50" s="16"/>
      <c r="G50" s="16"/>
      <c r="H50" s="16"/>
      <c r="I50" s="17" t="n">
        <f aca="false">IFERROR(IF(C50="",0,VLOOKUP(C50,Stock!B:M,12,FALSE())*D50),0)</f>
        <v>0</v>
      </c>
      <c r="J50" s="18" t="n">
        <f aca="false">IFERROR(IF(C50="",0,VLOOKUP(C50,Stock!B:N,13,FALSE())*D50),0)</f>
        <v>0</v>
      </c>
      <c r="K50" s="16"/>
    </row>
    <row r="51" customFormat="false" ht="15" hidden="false" customHeight="true" outlineLevel="0" collapsed="false">
      <c r="A51" s="16"/>
      <c r="B51" s="16"/>
      <c r="C51" s="16"/>
      <c r="D51" s="16"/>
      <c r="E51" s="16" t="str">
        <f aca="false">IF(D51="","",D51)</f>
        <v/>
      </c>
      <c r="F51" s="16"/>
      <c r="G51" s="16"/>
      <c r="H51" s="16"/>
      <c r="I51" s="17" t="n">
        <f aca="false">IFERROR(IF(C51="",0,VLOOKUP(C51,Stock!B:M,12,FALSE())*D51),0)</f>
        <v>0</v>
      </c>
      <c r="J51" s="18" t="n">
        <f aca="false">IFERROR(IF(C51="",0,VLOOKUP(C51,Stock!B:N,13,FALSE())*D51),0)</f>
        <v>0</v>
      </c>
      <c r="K51" s="16"/>
    </row>
    <row r="52" customFormat="false" ht="15" hidden="false" customHeight="true" outlineLevel="0" collapsed="false">
      <c r="A52" s="16"/>
      <c r="B52" s="16"/>
      <c r="C52" s="16"/>
      <c r="D52" s="16"/>
      <c r="E52" s="16" t="str">
        <f aca="false">IF(D52="","",D52)</f>
        <v/>
      </c>
      <c r="F52" s="16"/>
      <c r="G52" s="16"/>
      <c r="H52" s="16"/>
      <c r="I52" s="17" t="n">
        <f aca="false">IFERROR(IF(C52="",0,VLOOKUP(C52,Stock!B:M,12,FALSE())*D52),0)</f>
        <v>0</v>
      </c>
      <c r="J52" s="18" t="n">
        <f aca="false">IFERROR(IF(C52="",0,VLOOKUP(C52,Stock!B:N,13,FALSE())*D52),0)</f>
        <v>0</v>
      </c>
      <c r="K52" s="16"/>
    </row>
    <row r="53" customFormat="false" ht="15" hidden="false" customHeight="true" outlineLevel="0" collapsed="false">
      <c r="A53" s="16"/>
      <c r="B53" s="16"/>
      <c r="C53" s="16"/>
      <c r="D53" s="16"/>
      <c r="E53" s="16" t="str">
        <f aca="false">IF(D53="","",D53)</f>
        <v/>
      </c>
      <c r="F53" s="16"/>
      <c r="G53" s="16"/>
      <c r="H53" s="16"/>
      <c r="I53" s="17" t="n">
        <f aca="false">IFERROR(IF(C53="",0,VLOOKUP(C53,Stock!B:M,12,FALSE())*D53),0)</f>
        <v>0</v>
      </c>
      <c r="J53" s="18" t="n">
        <f aca="false">IFERROR(IF(C53="",0,VLOOKUP(C53,Stock!B:N,13,FALSE())*D53),0)</f>
        <v>0</v>
      </c>
      <c r="K53" s="16"/>
    </row>
    <row r="54" customFormat="false" ht="15" hidden="false" customHeight="true" outlineLevel="0" collapsed="false">
      <c r="A54" s="16"/>
      <c r="B54" s="16"/>
      <c r="C54" s="16"/>
      <c r="D54" s="16"/>
      <c r="E54" s="16" t="str">
        <f aca="false">IF(D54="","",D54)</f>
        <v/>
      </c>
      <c r="F54" s="16"/>
      <c r="G54" s="16"/>
      <c r="H54" s="16"/>
      <c r="I54" s="17" t="n">
        <f aca="false">IFERROR(IF(C54="",0,VLOOKUP(C54,Stock!B:M,12,FALSE())*D54),0)</f>
        <v>0</v>
      </c>
      <c r="J54" s="18" t="n">
        <f aca="false">IFERROR(IF(C54="",0,VLOOKUP(C54,Stock!B:N,13,FALSE())*D54),0)</f>
        <v>0</v>
      </c>
      <c r="K54" s="16"/>
    </row>
    <row r="55" customFormat="false" ht="15" hidden="false" customHeight="true" outlineLevel="0" collapsed="false">
      <c r="A55" s="16"/>
      <c r="B55" s="16"/>
      <c r="C55" s="16"/>
      <c r="D55" s="16"/>
      <c r="E55" s="16" t="str">
        <f aca="false">IF(D55="","",D55)</f>
        <v/>
      </c>
      <c r="F55" s="16"/>
      <c r="G55" s="16"/>
      <c r="H55" s="16"/>
      <c r="I55" s="17" t="n">
        <f aca="false">IFERROR(IF(C55="",0,VLOOKUP(C55,Stock!B:M,12,FALSE())*D55),0)</f>
        <v>0</v>
      </c>
      <c r="J55" s="18" t="n">
        <f aca="false">IFERROR(IF(C55="",0,VLOOKUP(C55,Stock!B:N,13,FALSE())*D55),0)</f>
        <v>0</v>
      </c>
      <c r="K55" s="16"/>
    </row>
    <row r="56" customFormat="false" ht="15" hidden="false" customHeight="true" outlineLevel="0" collapsed="false">
      <c r="A56" s="16"/>
      <c r="B56" s="16"/>
      <c r="C56" s="16"/>
      <c r="D56" s="16"/>
      <c r="E56" s="16" t="str">
        <f aca="false">IF(D56="","",D56)</f>
        <v/>
      </c>
      <c r="F56" s="16"/>
      <c r="G56" s="16"/>
      <c r="H56" s="16"/>
      <c r="I56" s="17" t="n">
        <f aca="false">IFERROR(IF(C56="",0,VLOOKUP(C56,Stock!B:M,12,FALSE())*D56),0)</f>
        <v>0</v>
      </c>
      <c r="J56" s="18" t="n">
        <f aca="false">IFERROR(IF(C56="",0,VLOOKUP(C56,Stock!B:N,13,FALSE())*D56),0)</f>
        <v>0</v>
      </c>
      <c r="K56" s="16"/>
    </row>
    <row r="57" customFormat="false" ht="15" hidden="false" customHeight="true" outlineLevel="0" collapsed="false">
      <c r="A57" s="16"/>
      <c r="B57" s="16"/>
      <c r="C57" s="16"/>
      <c r="D57" s="16"/>
      <c r="E57" s="16" t="str">
        <f aca="false">IF(D57="","",D57)</f>
        <v/>
      </c>
      <c r="F57" s="16"/>
      <c r="G57" s="16"/>
      <c r="H57" s="16"/>
      <c r="I57" s="17" t="n">
        <f aca="false">IFERROR(IF(C57="",0,VLOOKUP(C57,Stock!B:M,12,FALSE())*D57),0)</f>
        <v>0</v>
      </c>
      <c r="J57" s="18" t="n">
        <f aca="false">IFERROR(IF(C57="",0,VLOOKUP(C57,Stock!B:N,13,FALSE())*D57),0)</f>
        <v>0</v>
      </c>
      <c r="K57" s="16"/>
    </row>
    <row r="58" customFormat="false" ht="15" hidden="false" customHeight="true" outlineLevel="0" collapsed="false">
      <c r="A58" s="16"/>
      <c r="B58" s="16"/>
      <c r="C58" s="16"/>
      <c r="D58" s="16"/>
      <c r="E58" s="16" t="str">
        <f aca="false">IF(D58="","",D58)</f>
        <v/>
      </c>
      <c r="F58" s="16"/>
      <c r="G58" s="16"/>
      <c r="H58" s="16"/>
      <c r="I58" s="17" t="n">
        <f aca="false">IFERROR(IF(C58="",0,VLOOKUP(C58,Stock!B:M,12,FALSE())*D58),0)</f>
        <v>0</v>
      </c>
      <c r="J58" s="18" t="n">
        <f aca="false">IFERROR(IF(C58="",0,VLOOKUP(C58,Stock!B:N,13,FALSE())*D58),0)</f>
        <v>0</v>
      </c>
      <c r="K58" s="16"/>
    </row>
    <row r="59" customFormat="false" ht="15" hidden="false" customHeight="true" outlineLevel="0" collapsed="false">
      <c r="A59" s="16"/>
      <c r="B59" s="16"/>
      <c r="C59" s="16"/>
      <c r="D59" s="16"/>
      <c r="E59" s="16" t="str">
        <f aca="false">IF(D59="","",D59)</f>
        <v/>
      </c>
      <c r="F59" s="16"/>
      <c r="G59" s="16"/>
      <c r="H59" s="16"/>
      <c r="I59" s="17" t="n">
        <f aca="false">IFERROR(IF(C59="",0,VLOOKUP(C59,Stock!B:M,12,FALSE())*D59),0)</f>
        <v>0</v>
      </c>
      <c r="J59" s="18" t="n">
        <f aca="false">IFERROR(IF(C59="",0,VLOOKUP(C59,Stock!B:N,13,FALSE())*D59),0)</f>
        <v>0</v>
      </c>
      <c r="K59" s="16"/>
    </row>
    <row r="60" customFormat="false" ht="15" hidden="false" customHeight="true" outlineLevel="0" collapsed="false">
      <c r="A60" s="16"/>
      <c r="B60" s="16"/>
      <c r="C60" s="16"/>
      <c r="D60" s="16"/>
      <c r="E60" s="16" t="str">
        <f aca="false">IF(D60="","",D60)</f>
        <v/>
      </c>
      <c r="F60" s="16"/>
      <c r="G60" s="16"/>
      <c r="H60" s="16"/>
      <c r="I60" s="17" t="n">
        <f aca="false">IFERROR(IF(C60="",0,VLOOKUP(C60,Stock!B:M,12,FALSE())*D60),0)</f>
        <v>0</v>
      </c>
      <c r="J60" s="18" t="n">
        <f aca="false">IFERROR(IF(C60="",0,VLOOKUP(C60,Stock!B:N,13,FALSE())*D60),0)</f>
        <v>0</v>
      </c>
      <c r="K60" s="16"/>
    </row>
    <row r="61" customFormat="false" ht="15" hidden="false" customHeight="true" outlineLevel="0" collapsed="false">
      <c r="A61" s="16"/>
      <c r="B61" s="16"/>
      <c r="C61" s="16"/>
      <c r="D61" s="16"/>
      <c r="E61" s="16" t="str">
        <f aca="false">IF(D61="","",D61)</f>
        <v/>
      </c>
      <c r="F61" s="16"/>
      <c r="G61" s="16"/>
      <c r="H61" s="16"/>
      <c r="I61" s="17" t="n">
        <f aca="false">IFERROR(IF(C61="",0,VLOOKUP(C61,Stock!B:M,12,FALSE())*D61),0)</f>
        <v>0</v>
      </c>
      <c r="J61" s="18" t="n">
        <f aca="false">IFERROR(IF(C61="",0,VLOOKUP(C61,Stock!B:N,13,FALSE())*D61),0)</f>
        <v>0</v>
      </c>
      <c r="K61" s="16"/>
    </row>
    <row r="62" customFormat="false" ht="15" hidden="false" customHeight="true" outlineLevel="0" collapsed="false">
      <c r="A62" s="16"/>
      <c r="B62" s="16"/>
      <c r="C62" s="16"/>
      <c r="D62" s="16"/>
      <c r="E62" s="16" t="str">
        <f aca="false">IF(D62="","",D62)</f>
        <v/>
      </c>
      <c r="F62" s="16"/>
      <c r="G62" s="16"/>
      <c r="H62" s="16"/>
      <c r="I62" s="17" t="n">
        <f aca="false">IFERROR(IF(C62="",0,VLOOKUP(C62,Stock!B:M,12,FALSE())*D62),0)</f>
        <v>0</v>
      </c>
      <c r="J62" s="18" t="n">
        <f aca="false">IFERROR(IF(C62="",0,VLOOKUP(C62,Stock!B:N,13,FALSE())*D62),0)</f>
        <v>0</v>
      </c>
      <c r="K62" s="16"/>
    </row>
    <row r="63" customFormat="false" ht="15" hidden="false" customHeight="true" outlineLevel="0" collapsed="false">
      <c r="A63" s="16"/>
      <c r="B63" s="16"/>
      <c r="C63" s="16"/>
      <c r="D63" s="16"/>
      <c r="E63" s="16" t="str">
        <f aca="false">IF(D63="","",D63)</f>
        <v/>
      </c>
      <c r="F63" s="16"/>
      <c r="G63" s="16"/>
      <c r="H63" s="16"/>
      <c r="I63" s="17" t="n">
        <f aca="false">IFERROR(IF(C63="",0,VLOOKUP(C63,Stock!B:M,12,FALSE())*D63),0)</f>
        <v>0</v>
      </c>
      <c r="J63" s="18" t="n">
        <f aca="false">IFERROR(IF(C63="",0,VLOOKUP(C63,Stock!B:N,13,FALSE())*D63),0)</f>
        <v>0</v>
      </c>
      <c r="K63" s="16"/>
    </row>
    <row r="64" customFormat="false" ht="15" hidden="false" customHeight="true" outlineLevel="0" collapsed="false">
      <c r="A64" s="16"/>
      <c r="B64" s="16"/>
      <c r="C64" s="16"/>
      <c r="D64" s="16"/>
      <c r="E64" s="16" t="str">
        <f aca="false">IF(D64="","",D64)</f>
        <v/>
      </c>
      <c r="F64" s="16"/>
      <c r="G64" s="16"/>
      <c r="H64" s="16"/>
      <c r="I64" s="17" t="n">
        <f aca="false">IFERROR(IF(C64="",0,VLOOKUP(C64,Stock!B:M,12,FALSE())*D64),0)</f>
        <v>0</v>
      </c>
      <c r="J64" s="18" t="n">
        <f aca="false">IFERROR(IF(C64="",0,VLOOKUP(C64,Stock!B:N,13,FALSE())*D64),0)</f>
        <v>0</v>
      </c>
      <c r="K64" s="16"/>
    </row>
    <row r="65" customFormat="false" ht="15" hidden="false" customHeight="true" outlineLevel="0" collapsed="false">
      <c r="A65" s="16"/>
      <c r="B65" s="16"/>
      <c r="C65" s="16"/>
      <c r="D65" s="16"/>
      <c r="E65" s="16" t="str">
        <f aca="false">IF(D65="","",D65)</f>
        <v/>
      </c>
      <c r="F65" s="16"/>
      <c r="G65" s="16"/>
      <c r="H65" s="16"/>
      <c r="I65" s="17" t="n">
        <f aca="false">IFERROR(IF(C65="",0,VLOOKUP(C65,Stock!B:M,12,FALSE())*D65),0)</f>
        <v>0</v>
      </c>
      <c r="J65" s="18" t="n">
        <f aca="false">IFERROR(IF(C65="",0,VLOOKUP(C65,Stock!B:N,13,FALSE())*D65),0)</f>
        <v>0</v>
      </c>
      <c r="K65" s="16"/>
    </row>
    <row r="66" customFormat="false" ht="15" hidden="false" customHeight="true" outlineLevel="0" collapsed="false">
      <c r="A66" s="16"/>
      <c r="B66" s="16"/>
      <c r="C66" s="16"/>
      <c r="D66" s="16"/>
      <c r="E66" s="16" t="str">
        <f aca="false">IF(D66="","",D66)</f>
        <v/>
      </c>
      <c r="F66" s="16"/>
      <c r="G66" s="16"/>
      <c r="H66" s="16"/>
      <c r="I66" s="17" t="n">
        <f aca="false">IFERROR(IF(C66="",0,VLOOKUP(C66,Stock!B:M,12,FALSE())*D66),0)</f>
        <v>0</v>
      </c>
      <c r="J66" s="18" t="n">
        <f aca="false">IFERROR(IF(C66="",0,VLOOKUP(C66,Stock!B:N,13,FALSE())*D66),0)</f>
        <v>0</v>
      </c>
      <c r="K66" s="16"/>
    </row>
    <row r="67" customFormat="false" ht="15" hidden="false" customHeight="true" outlineLevel="0" collapsed="false">
      <c r="A67" s="16"/>
      <c r="B67" s="16"/>
      <c r="C67" s="16"/>
      <c r="D67" s="16"/>
      <c r="E67" s="16" t="str">
        <f aca="false">IF(D67="","",D67)</f>
        <v/>
      </c>
      <c r="F67" s="16"/>
      <c r="G67" s="16"/>
      <c r="H67" s="16"/>
      <c r="I67" s="17" t="n">
        <f aca="false">IFERROR(IF(C67="",0,VLOOKUP(C67,Stock!B:M,12,FALSE())*D67),0)</f>
        <v>0</v>
      </c>
      <c r="J67" s="18" t="n">
        <f aca="false">IFERROR(IF(C67="",0,VLOOKUP(C67,Stock!B:N,13,FALSE())*D67),0)</f>
        <v>0</v>
      </c>
      <c r="K67" s="16"/>
    </row>
    <row r="68" customFormat="false" ht="15" hidden="false" customHeight="true" outlineLevel="0" collapsed="false">
      <c r="A68" s="16"/>
      <c r="B68" s="16"/>
      <c r="C68" s="16"/>
      <c r="D68" s="16"/>
      <c r="E68" s="16" t="str">
        <f aca="false">IF(D68="","",D68)</f>
        <v/>
      </c>
      <c r="F68" s="16"/>
      <c r="G68" s="16"/>
      <c r="H68" s="16"/>
      <c r="I68" s="17" t="n">
        <f aca="false">IFERROR(IF(C68="",0,VLOOKUP(C68,Stock!B:M,12,FALSE())*D68),0)</f>
        <v>0</v>
      </c>
      <c r="J68" s="18" t="n">
        <f aca="false">IFERROR(IF(C68="",0,VLOOKUP(C68,Stock!B:N,13,FALSE())*D68),0)</f>
        <v>0</v>
      </c>
      <c r="K68" s="16"/>
    </row>
    <row r="69" customFormat="false" ht="15" hidden="false" customHeight="true" outlineLevel="0" collapsed="false">
      <c r="A69" s="16"/>
      <c r="B69" s="16"/>
      <c r="C69" s="16"/>
      <c r="D69" s="16"/>
      <c r="E69" s="16" t="str">
        <f aca="false">IF(D69="","",D69)</f>
        <v/>
      </c>
      <c r="F69" s="16"/>
      <c r="G69" s="16"/>
      <c r="H69" s="16"/>
      <c r="I69" s="17" t="n">
        <f aca="false">IFERROR(IF(C69="",0,VLOOKUP(C69,Stock!B:M,12,FALSE())*D69),0)</f>
        <v>0</v>
      </c>
      <c r="J69" s="18" t="n">
        <f aca="false">IFERROR(IF(C69="",0,VLOOKUP(C69,Stock!B:N,13,FALSE())*D69),0)</f>
        <v>0</v>
      </c>
      <c r="K69" s="16"/>
    </row>
    <row r="70" customFormat="false" ht="15" hidden="false" customHeight="true" outlineLevel="0" collapsed="false">
      <c r="A70" s="16"/>
      <c r="B70" s="16"/>
      <c r="C70" s="16"/>
      <c r="D70" s="16"/>
      <c r="E70" s="16" t="str">
        <f aca="false">IF(D70="","",D70)</f>
        <v/>
      </c>
      <c r="F70" s="16"/>
      <c r="G70" s="16"/>
      <c r="H70" s="16"/>
      <c r="I70" s="17" t="n">
        <f aca="false">IFERROR(IF(C70="",0,VLOOKUP(C70,Stock!B:M,12,FALSE())*D70),0)</f>
        <v>0</v>
      </c>
      <c r="J70" s="18" t="n">
        <f aca="false">IFERROR(IF(C70="",0,VLOOKUP(C70,Stock!B:N,13,FALSE())*D70),0)</f>
        <v>0</v>
      </c>
      <c r="K70" s="16"/>
    </row>
    <row r="71" customFormat="false" ht="15" hidden="false" customHeight="true" outlineLevel="0" collapsed="false">
      <c r="A71" s="16"/>
      <c r="B71" s="16"/>
      <c r="C71" s="16"/>
      <c r="D71" s="16"/>
      <c r="E71" s="16" t="str">
        <f aca="false">IF(D71="","",D71)</f>
        <v/>
      </c>
      <c r="F71" s="16"/>
      <c r="G71" s="16"/>
      <c r="H71" s="16"/>
      <c r="I71" s="17" t="n">
        <f aca="false">IFERROR(IF(C71="",0,VLOOKUP(C71,Stock!B:M,12,FALSE())*D71),0)</f>
        <v>0</v>
      </c>
      <c r="J71" s="18" t="n">
        <f aca="false">IFERROR(IF(C71="",0,VLOOKUP(C71,Stock!B:N,13,FALSE())*D71),0)</f>
        <v>0</v>
      </c>
      <c r="K71" s="16"/>
    </row>
    <row r="72" customFormat="false" ht="15" hidden="false" customHeight="true" outlineLevel="0" collapsed="false">
      <c r="A72" s="16"/>
      <c r="B72" s="16"/>
      <c r="C72" s="16"/>
      <c r="D72" s="16"/>
      <c r="E72" s="16" t="str">
        <f aca="false">IF(D72="","",D72)</f>
        <v/>
      </c>
      <c r="F72" s="16"/>
      <c r="G72" s="16"/>
      <c r="H72" s="16"/>
      <c r="I72" s="17" t="n">
        <f aca="false">IFERROR(IF(C72="",0,VLOOKUP(C72,Stock!B:M,12,FALSE())*D72),0)</f>
        <v>0</v>
      </c>
      <c r="J72" s="18" t="n">
        <f aca="false">IFERROR(IF(C72="",0,VLOOKUP(C72,Stock!B:N,13,FALSE())*D72),0)</f>
        <v>0</v>
      </c>
      <c r="K72" s="16"/>
    </row>
    <row r="73" customFormat="false" ht="15" hidden="false" customHeight="true" outlineLevel="0" collapsed="false">
      <c r="A73" s="16"/>
      <c r="B73" s="16"/>
      <c r="C73" s="16"/>
      <c r="D73" s="16"/>
      <c r="E73" s="16" t="str">
        <f aca="false">IF(D73="","",D73)</f>
        <v/>
      </c>
      <c r="F73" s="16"/>
      <c r="G73" s="16"/>
      <c r="H73" s="16"/>
      <c r="I73" s="17" t="n">
        <f aca="false">IFERROR(IF(C73="",0,VLOOKUP(C73,Stock!B:M,12,FALSE())*D73),0)</f>
        <v>0</v>
      </c>
      <c r="J73" s="18" t="n">
        <f aca="false">IFERROR(IF(C73="",0,VLOOKUP(C73,Stock!B:N,13,FALSE())*D73),0)</f>
        <v>0</v>
      </c>
      <c r="K73" s="16"/>
    </row>
    <row r="74" customFormat="false" ht="15" hidden="false" customHeight="true" outlineLevel="0" collapsed="false">
      <c r="A74" s="16"/>
      <c r="B74" s="16"/>
      <c r="C74" s="16"/>
      <c r="D74" s="16"/>
      <c r="E74" s="16" t="str">
        <f aca="false">IF(D74="","",D74)</f>
        <v/>
      </c>
      <c r="F74" s="16"/>
      <c r="G74" s="16"/>
      <c r="H74" s="16"/>
      <c r="I74" s="17" t="n">
        <f aca="false">IFERROR(IF(C74="",0,VLOOKUP(C74,Stock!B:M,12,FALSE())*D74),0)</f>
        <v>0</v>
      </c>
      <c r="J74" s="18" t="n">
        <f aca="false">IFERROR(IF(C74="",0,VLOOKUP(C74,Stock!B:N,13,FALSE())*D74),0)</f>
        <v>0</v>
      </c>
      <c r="K74" s="16"/>
    </row>
    <row r="75" customFormat="false" ht="15" hidden="false" customHeight="true" outlineLevel="0" collapsed="false">
      <c r="A75" s="16"/>
      <c r="B75" s="16"/>
      <c r="C75" s="16"/>
      <c r="D75" s="16"/>
      <c r="E75" s="16" t="str">
        <f aca="false">IF(D75="","",D75)</f>
        <v/>
      </c>
      <c r="F75" s="16"/>
      <c r="G75" s="16"/>
      <c r="H75" s="16"/>
      <c r="I75" s="17" t="n">
        <f aca="false">IFERROR(IF(C75="",0,VLOOKUP(C75,Stock!B:M,12,FALSE())*D75),0)</f>
        <v>0</v>
      </c>
      <c r="J75" s="18" t="n">
        <f aca="false">IFERROR(IF(C75="",0,VLOOKUP(C75,Stock!B:N,13,FALSE())*D75),0)</f>
        <v>0</v>
      </c>
      <c r="K75" s="16"/>
    </row>
    <row r="76" customFormat="false" ht="15" hidden="false" customHeight="true" outlineLevel="0" collapsed="false">
      <c r="A76" s="16"/>
      <c r="B76" s="16"/>
      <c r="C76" s="16"/>
      <c r="D76" s="16"/>
      <c r="E76" s="16" t="str">
        <f aca="false">IF(D76="","",D76)</f>
        <v/>
      </c>
      <c r="F76" s="16"/>
      <c r="G76" s="16"/>
      <c r="H76" s="16"/>
      <c r="I76" s="17" t="n">
        <f aca="false">IFERROR(IF(C76="",0,VLOOKUP(C76,Stock!B:M,12,FALSE())*D76),0)</f>
        <v>0</v>
      </c>
      <c r="J76" s="18" t="n">
        <f aca="false">IFERROR(IF(C76="",0,VLOOKUP(C76,Stock!B:N,13,FALSE())*D76),0)</f>
        <v>0</v>
      </c>
      <c r="K76" s="16"/>
    </row>
    <row r="77" customFormat="false" ht="15" hidden="false" customHeight="true" outlineLevel="0" collapsed="false">
      <c r="A77" s="16"/>
      <c r="B77" s="16"/>
      <c r="C77" s="16"/>
      <c r="D77" s="16"/>
      <c r="E77" s="16" t="str">
        <f aca="false">IF(D77="","",D77)</f>
        <v/>
      </c>
      <c r="F77" s="16"/>
      <c r="G77" s="16"/>
      <c r="H77" s="16"/>
      <c r="I77" s="17" t="n">
        <f aca="false">IFERROR(IF(C77="",0,VLOOKUP(C77,Stock!B:M,12,FALSE())*D77),0)</f>
        <v>0</v>
      </c>
      <c r="J77" s="18" t="n">
        <f aca="false">IFERROR(IF(C77="",0,VLOOKUP(C77,Stock!B:N,13,FALSE())*D77),0)</f>
        <v>0</v>
      </c>
      <c r="K77" s="16"/>
    </row>
    <row r="78" customFormat="false" ht="15" hidden="false" customHeight="true" outlineLevel="0" collapsed="false">
      <c r="A78" s="16"/>
      <c r="B78" s="16"/>
      <c r="C78" s="16"/>
      <c r="D78" s="16"/>
      <c r="E78" s="16" t="str">
        <f aca="false">IF(D78="","",D78)</f>
        <v/>
      </c>
      <c r="F78" s="16"/>
      <c r="G78" s="16"/>
      <c r="H78" s="16"/>
      <c r="I78" s="17" t="n">
        <f aca="false">IFERROR(IF(C78="",0,VLOOKUP(C78,Stock!B:M,12,FALSE())*D78),0)</f>
        <v>0</v>
      </c>
      <c r="J78" s="18" t="n">
        <f aca="false">IFERROR(IF(C78="",0,VLOOKUP(C78,Stock!B:N,13,FALSE())*D78),0)</f>
        <v>0</v>
      </c>
      <c r="K78" s="16"/>
    </row>
    <row r="79" customFormat="false" ht="15" hidden="false" customHeight="true" outlineLevel="0" collapsed="false">
      <c r="A79" s="16"/>
      <c r="B79" s="16"/>
      <c r="C79" s="16"/>
      <c r="D79" s="16"/>
      <c r="E79" s="16" t="str">
        <f aca="false">IF(D79="","",D79)</f>
        <v/>
      </c>
      <c r="F79" s="16"/>
      <c r="G79" s="16"/>
      <c r="H79" s="16"/>
      <c r="I79" s="17" t="n">
        <f aca="false">IFERROR(IF(C79="",0,VLOOKUP(C79,Stock!B:M,12,FALSE())*D79),0)</f>
        <v>0</v>
      </c>
      <c r="J79" s="18" t="n">
        <f aca="false">IFERROR(IF(C79="",0,VLOOKUP(C79,Stock!B:N,13,FALSE())*D79),0)</f>
        <v>0</v>
      </c>
      <c r="K79" s="16"/>
    </row>
    <row r="80" customFormat="false" ht="15" hidden="false" customHeight="true" outlineLevel="0" collapsed="false">
      <c r="A80" s="16"/>
      <c r="B80" s="16"/>
      <c r="C80" s="16"/>
      <c r="D80" s="16"/>
      <c r="E80" s="16" t="str">
        <f aca="false">IF(D80="","",D80)</f>
        <v/>
      </c>
      <c r="F80" s="16"/>
      <c r="G80" s="16"/>
      <c r="H80" s="16"/>
      <c r="I80" s="17" t="n">
        <f aca="false">IFERROR(IF(C80="",0,VLOOKUP(C80,Stock!B:M,12,FALSE())*D80),0)</f>
        <v>0</v>
      </c>
      <c r="J80" s="18" t="n">
        <f aca="false">IFERROR(IF(C80="",0,VLOOKUP(C80,Stock!B:N,13,FALSE())*D80),0)</f>
        <v>0</v>
      </c>
      <c r="K80" s="16"/>
    </row>
    <row r="81" customFormat="false" ht="15" hidden="false" customHeight="true" outlineLevel="0" collapsed="false">
      <c r="A81" s="16"/>
      <c r="B81" s="16"/>
      <c r="C81" s="16"/>
      <c r="D81" s="16"/>
      <c r="E81" s="16" t="str">
        <f aca="false">IF(D81="","",D81)</f>
        <v/>
      </c>
      <c r="F81" s="16"/>
      <c r="G81" s="16"/>
      <c r="H81" s="16"/>
      <c r="I81" s="17" t="n">
        <f aca="false">IFERROR(IF(C81="",0,VLOOKUP(C81,Stock!B:M,12,FALSE())*D81),0)</f>
        <v>0</v>
      </c>
      <c r="J81" s="18" t="n">
        <f aca="false">IFERROR(IF(C81="",0,VLOOKUP(C81,Stock!B:N,13,FALSE())*D81),0)</f>
        <v>0</v>
      </c>
      <c r="K81" s="16"/>
    </row>
    <row r="82" customFormat="false" ht="15" hidden="false" customHeight="true" outlineLevel="0" collapsed="false">
      <c r="A82" s="16"/>
      <c r="B82" s="16"/>
      <c r="C82" s="16"/>
      <c r="D82" s="16"/>
      <c r="E82" s="16" t="str">
        <f aca="false">IF(D82="","",D82)</f>
        <v/>
      </c>
      <c r="F82" s="16"/>
      <c r="G82" s="16"/>
      <c r="H82" s="16"/>
      <c r="I82" s="17" t="n">
        <f aca="false">IFERROR(IF(C82="",0,VLOOKUP(C82,Stock!B:M,12,FALSE())*D82),0)</f>
        <v>0</v>
      </c>
      <c r="J82" s="18" t="n">
        <f aca="false">IFERROR(IF(C82="",0,VLOOKUP(C82,Stock!B:N,13,FALSE())*D82),0)</f>
        <v>0</v>
      </c>
      <c r="K82" s="16"/>
    </row>
    <row r="83" customFormat="false" ht="15" hidden="false" customHeight="true" outlineLevel="0" collapsed="false">
      <c r="A83" s="16"/>
      <c r="B83" s="16"/>
      <c r="C83" s="16"/>
      <c r="D83" s="16"/>
      <c r="E83" s="16" t="str">
        <f aca="false">IF(D83="","",D83)</f>
        <v/>
      </c>
      <c r="F83" s="16"/>
      <c r="G83" s="16"/>
      <c r="H83" s="16"/>
      <c r="I83" s="17" t="n">
        <f aca="false">IFERROR(IF(C83="",0,VLOOKUP(C83,Stock!B:M,12,FALSE())*D83),0)</f>
        <v>0</v>
      </c>
      <c r="J83" s="18" t="n">
        <f aca="false">IFERROR(IF(C83="",0,VLOOKUP(C83,Stock!B:N,13,FALSE())*D83),0)</f>
        <v>0</v>
      </c>
      <c r="K83" s="16"/>
    </row>
    <row r="84" customFormat="false" ht="15" hidden="false" customHeight="true" outlineLevel="0" collapsed="false">
      <c r="A84" s="16"/>
      <c r="B84" s="16"/>
      <c r="C84" s="16"/>
      <c r="D84" s="16"/>
      <c r="E84" s="16" t="str">
        <f aca="false">IF(D84="","",D84)</f>
        <v/>
      </c>
      <c r="F84" s="16"/>
      <c r="G84" s="16"/>
      <c r="H84" s="16"/>
      <c r="I84" s="17" t="n">
        <f aca="false">IFERROR(IF(C84="",0,VLOOKUP(C84,Stock!B:M,12,FALSE())*D84),0)</f>
        <v>0</v>
      </c>
      <c r="J84" s="18" t="n">
        <f aca="false">IFERROR(IF(C84="",0,VLOOKUP(C84,Stock!B:N,13,FALSE())*D84),0)</f>
        <v>0</v>
      </c>
      <c r="K84" s="16"/>
    </row>
    <row r="85" customFormat="false" ht="15" hidden="false" customHeight="true" outlineLevel="0" collapsed="false">
      <c r="A85" s="16"/>
      <c r="B85" s="16"/>
      <c r="C85" s="16"/>
      <c r="D85" s="16"/>
      <c r="E85" s="16" t="str">
        <f aca="false">IF(D85="","",D85)</f>
        <v/>
      </c>
      <c r="F85" s="16"/>
      <c r="G85" s="16"/>
      <c r="H85" s="16"/>
      <c r="I85" s="17" t="n">
        <f aca="false">IFERROR(IF(C85="",0,VLOOKUP(C85,Stock!B:M,12,FALSE())*D85),0)</f>
        <v>0</v>
      </c>
      <c r="J85" s="18" t="n">
        <f aca="false">IFERROR(IF(C85="",0,VLOOKUP(C85,Stock!B:N,13,FALSE())*D85),0)</f>
        <v>0</v>
      </c>
      <c r="K85" s="16"/>
    </row>
    <row r="86" customFormat="false" ht="15" hidden="false" customHeight="true" outlineLevel="0" collapsed="false">
      <c r="A86" s="16"/>
      <c r="B86" s="16"/>
      <c r="C86" s="16"/>
      <c r="D86" s="16"/>
      <c r="E86" s="16" t="str">
        <f aca="false">IF(D86="","",D86)</f>
        <v/>
      </c>
      <c r="F86" s="16"/>
      <c r="G86" s="16"/>
      <c r="H86" s="16"/>
      <c r="I86" s="17" t="n">
        <f aca="false">IFERROR(IF(C86="",0,VLOOKUP(C86,Stock!B:M,12,FALSE())*D86),0)</f>
        <v>0</v>
      </c>
      <c r="J86" s="18" t="n">
        <f aca="false">IFERROR(IF(C86="",0,VLOOKUP(C86,Stock!B:N,13,FALSE())*D86),0)</f>
        <v>0</v>
      </c>
      <c r="K86" s="16"/>
    </row>
    <row r="87" customFormat="false" ht="15" hidden="false" customHeight="true" outlineLevel="0" collapsed="false">
      <c r="A87" s="16"/>
      <c r="B87" s="16"/>
      <c r="C87" s="16"/>
      <c r="D87" s="16"/>
      <c r="E87" s="16" t="str">
        <f aca="false">IF(D87="","",D87)</f>
        <v/>
      </c>
      <c r="F87" s="16"/>
      <c r="G87" s="16"/>
      <c r="H87" s="16"/>
      <c r="I87" s="17" t="n">
        <f aca="false">IFERROR(IF(C87="",0,VLOOKUP(C87,Stock!B:M,12,FALSE())*D87),0)</f>
        <v>0</v>
      </c>
      <c r="J87" s="18" t="n">
        <f aca="false">IFERROR(IF(C87="",0,VLOOKUP(C87,Stock!B:N,13,FALSE())*D87),0)</f>
        <v>0</v>
      </c>
      <c r="K87" s="16"/>
    </row>
    <row r="88" customFormat="false" ht="15" hidden="false" customHeight="true" outlineLevel="0" collapsed="false">
      <c r="A88" s="16"/>
      <c r="B88" s="16"/>
      <c r="C88" s="16"/>
      <c r="D88" s="16"/>
      <c r="E88" s="16" t="str">
        <f aca="false">IF(D88="","",D88)</f>
        <v/>
      </c>
      <c r="F88" s="16"/>
      <c r="G88" s="16"/>
      <c r="H88" s="16"/>
      <c r="I88" s="17" t="n">
        <f aca="false">IFERROR(IF(C88="",0,VLOOKUP(C88,Stock!B:M,12,FALSE())*D88),0)</f>
        <v>0</v>
      </c>
      <c r="J88" s="18" t="n">
        <f aca="false">IFERROR(IF(C88="",0,VLOOKUP(C88,Stock!B:N,13,FALSE())*D88),0)</f>
        <v>0</v>
      </c>
      <c r="K88" s="16"/>
    </row>
    <row r="89" customFormat="false" ht="15" hidden="false" customHeight="true" outlineLevel="0" collapsed="false">
      <c r="A89" s="16"/>
      <c r="B89" s="16"/>
      <c r="C89" s="16"/>
      <c r="D89" s="16"/>
      <c r="E89" s="16" t="str">
        <f aca="false">IF(D89="","",D89)</f>
        <v/>
      </c>
      <c r="F89" s="16"/>
      <c r="G89" s="16"/>
      <c r="H89" s="16"/>
      <c r="I89" s="17" t="n">
        <f aca="false">IFERROR(IF(C89="",0,VLOOKUP(C89,Stock!B:M,12,FALSE())*D89),0)</f>
        <v>0</v>
      </c>
      <c r="J89" s="18" t="n">
        <f aca="false">IFERROR(IF(C89="",0,VLOOKUP(C89,Stock!B:N,13,FALSE())*D89),0)</f>
        <v>0</v>
      </c>
      <c r="K89" s="16"/>
    </row>
    <row r="90" customFormat="false" ht="15" hidden="false" customHeight="true" outlineLevel="0" collapsed="false">
      <c r="A90" s="16"/>
      <c r="B90" s="16"/>
      <c r="C90" s="16"/>
      <c r="D90" s="16"/>
      <c r="E90" s="16" t="str">
        <f aca="false">IF(D90="","",D90)</f>
        <v/>
      </c>
      <c r="F90" s="16"/>
      <c r="G90" s="16"/>
      <c r="H90" s="16"/>
      <c r="I90" s="17" t="n">
        <f aca="false">IFERROR(IF(C90="",0,VLOOKUP(C90,Stock!B:M,12,FALSE())*D90),0)</f>
        <v>0</v>
      </c>
      <c r="J90" s="18" t="n">
        <f aca="false">IFERROR(IF(C90="",0,VLOOKUP(C90,Stock!B:N,13,FALSE())*D90),0)</f>
        <v>0</v>
      </c>
      <c r="K90" s="16"/>
    </row>
    <row r="91" customFormat="false" ht="15" hidden="false" customHeight="true" outlineLevel="0" collapsed="false">
      <c r="A91" s="16"/>
      <c r="B91" s="16"/>
      <c r="C91" s="16"/>
      <c r="D91" s="16"/>
      <c r="E91" s="16" t="str">
        <f aca="false">IF(D91="","",D91)</f>
        <v/>
      </c>
      <c r="F91" s="16"/>
      <c r="G91" s="16"/>
      <c r="H91" s="16"/>
      <c r="I91" s="17" t="n">
        <f aca="false">IFERROR(IF(C91="",0,VLOOKUP(C91,Stock!B:M,12,FALSE())*D91),0)</f>
        <v>0</v>
      </c>
      <c r="J91" s="18" t="n">
        <f aca="false">IFERROR(IF(C91="",0,VLOOKUP(C91,Stock!B:N,13,FALSE())*D91),0)</f>
        <v>0</v>
      </c>
      <c r="K91" s="16"/>
    </row>
    <row r="92" customFormat="false" ht="15" hidden="false" customHeight="true" outlineLevel="0" collapsed="false">
      <c r="A92" s="16"/>
      <c r="B92" s="16"/>
      <c r="C92" s="16"/>
      <c r="D92" s="16"/>
      <c r="E92" s="16" t="str">
        <f aca="false">IF(D92="","",D92)</f>
        <v/>
      </c>
      <c r="F92" s="16"/>
      <c r="G92" s="16"/>
      <c r="H92" s="16"/>
      <c r="I92" s="17" t="n">
        <f aca="false">IFERROR(IF(C92="",0,VLOOKUP(C92,Stock!B:M,12,FALSE())*D92),0)</f>
        <v>0</v>
      </c>
      <c r="J92" s="18" t="n">
        <f aca="false">IFERROR(IF(C92="",0,VLOOKUP(C92,Stock!B:N,13,FALSE())*D92),0)</f>
        <v>0</v>
      </c>
      <c r="K92" s="16"/>
    </row>
    <row r="93" customFormat="false" ht="15" hidden="false" customHeight="true" outlineLevel="0" collapsed="false">
      <c r="A93" s="16"/>
      <c r="B93" s="16"/>
      <c r="C93" s="16"/>
      <c r="D93" s="16"/>
      <c r="E93" s="16" t="str">
        <f aca="false">IF(D93="","",D93)</f>
        <v/>
      </c>
      <c r="F93" s="16"/>
      <c r="G93" s="16"/>
      <c r="H93" s="16"/>
      <c r="I93" s="17" t="n">
        <f aca="false">IFERROR(IF(C93="",0,VLOOKUP(C93,Stock!B:M,12,FALSE())*D93),0)</f>
        <v>0</v>
      </c>
      <c r="J93" s="18" t="n">
        <f aca="false">IFERROR(IF(C93="",0,VLOOKUP(C93,Stock!B:N,13,FALSE())*D93),0)</f>
        <v>0</v>
      </c>
      <c r="K93" s="16"/>
    </row>
    <row r="94" customFormat="false" ht="15" hidden="false" customHeight="true" outlineLevel="0" collapsed="false">
      <c r="A94" s="16"/>
      <c r="B94" s="16"/>
      <c r="C94" s="16"/>
      <c r="D94" s="16"/>
      <c r="E94" s="16" t="str">
        <f aca="false">IF(D94="","",D94)</f>
        <v/>
      </c>
      <c r="F94" s="16"/>
      <c r="G94" s="16"/>
      <c r="H94" s="16"/>
      <c r="I94" s="17" t="n">
        <f aca="false">IFERROR(IF(C94="",0,VLOOKUP(C94,Stock!B:M,12,FALSE())*D94),0)</f>
        <v>0</v>
      </c>
      <c r="J94" s="18" t="n">
        <f aca="false">IFERROR(IF(C94="",0,VLOOKUP(C94,Stock!B:N,13,FALSE())*D94),0)</f>
        <v>0</v>
      </c>
      <c r="K94" s="16"/>
    </row>
    <row r="95" customFormat="false" ht="15" hidden="false" customHeight="true" outlineLevel="0" collapsed="false">
      <c r="A95" s="16"/>
      <c r="B95" s="16"/>
      <c r="C95" s="16"/>
      <c r="D95" s="16"/>
      <c r="E95" s="16" t="str">
        <f aca="false">IF(D95="","",D95)</f>
        <v/>
      </c>
      <c r="F95" s="16"/>
      <c r="G95" s="16"/>
      <c r="H95" s="16"/>
      <c r="I95" s="17" t="n">
        <f aca="false">IFERROR(IF(C95="",0,VLOOKUP(C95,Stock!B:M,12,FALSE())*D95),0)</f>
        <v>0</v>
      </c>
      <c r="J95" s="18" t="n">
        <f aca="false">IFERROR(IF(C95="",0,VLOOKUP(C95,Stock!B:N,13,FALSE())*D95),0)</f>
        <v>0</v>
      </c>
      <c r="K95" s="16"/>
    </row>
    <row r="96" customFormat="false" ht="15" hidden="false" customHeight="true" outlineLevel="0" collapsed="false">
      <c r="A96" s="16"/>
      <c r="B96" s="16"/>
      <c r="C96" s="16"/>
      <c r="D96" s="16"/>
      <c r="E96" s="16" t="str">
        <f aca="false">IF(D96="","",D96)</f>
        <v/>
      </c>
      <c r="F96" s="16"/>
      <c r="G96" s="16"/>
      <c r="H96" s="16"/>
      <c r="I96" s="17" t="n">
        <f aca="false">IFERROR(IF(C96="",0,VLOOKUP(C96,Stock!B:M,12,FALSE())*D96),0)</f>
        <v>0</v>
      </c>
      <c r="J96" s="18" t="n">
        <f aca="false">IFERROR(IF(C96="",0,VLOOKUP(C96,Stock!B:N,13,FALSE())*D96),0)</f>
        <v>0</v>
      </c>
      <c r="K96" s="16"/>
    </row>
    <row r="97" customFormat="false" ht="15" hidden="false" customHeight="true" outlineLevel="0" collapsed="false">
      <c r="A97" s="16"/>
      <c r="B97" s="16"/>
      <c r="C97" s="16"/>
      <c r="D97" s="16"/>
      <c r="E97" s="16" t="str">
        <f aca="false">IF(D97="","",D97)</f>
        <v/>
      </c>
      <c r="F97" s="16"/>
      <c r="G97" s="16"/>
      <c r="H97" s="16"/>
      <c r="I97" s="17" t="n">
        <f aca="false">IFERROR(IF(C97="",0,VLOOKUP(C97,Stock!B:M,12,FALSE())*D97),0)</f>
        <v>0</v>
      </c>
      <c r="J97" s="18" t="n">
        <f aca="false">IFERROR(IF(C97="",0,VLOOKUP(C97,Stock!B:N,13,FALSE())*D97),0)</f>
        <v>0</v>
      </c>
      <c r="K97" s="16"/>
    </row>
    <row r="98" customFormat="false" ht="15" hidden="false" customHeight="true" outlineLevel="0" collapsed="false">
      <c r="A98" s="16"/>
      <c r="B98" s="16"/>
      <c r="C98" s="16"/>
      <c r="D98" s="16"/>
      <c r="E98" s="16" t="str">
        <f aca="false">IF(D98="","",D98)</f>
        <v/>
      </c>
      <c r="F98" s="16"/>
      <c r="G98" s="16"/>
      <c r="H98" s="16"/>
      <c r="I98" s="17" t="n">
        <f aca="false">IFERROR(IF(C98="",0,VLOOKUP(C98,Stock!B:M,12,FALSE())*D98),0)</f>
        <v>0</v>
      </c>
      <c r="J98" s="18" t="n">
        <f aca="false">IFERROR(IF(C98="",0,VLOOKUP(C98,Stock!B:N,13,FALSE())*D98),0)</f>
        <v>0</v>
      </c>
      <c r="K98" s="16"/>
    </row>
    <row r="99" customFormat="false" ht="15" hidden="false" customHeight="true" outlineLevel="0" collapsed="false">
      <c r="A99" s="16"/>
      <c r="B99" s="16"/>
      <c r="C99" s="16"/>
      <c r="D99" s="16"/>
      <c r="E99" s="16" t="str">
        <f aca="false">IF(D99="","",D99)</f>
        <v/>
      </c>
      <c r="F99" s="16"/>
      <c r="G99" s="16"/>
      <c r="H99" s="16"/>
      <c r="I99" s="17" t="n">
        <f aca="false">IFERROR(IF(C99="",0,VLOOKUP(C99,Stock!B:M,12,FALSE())*D99),0)</f>
        <v>0</v>
      </c>
      <c r="J99" s="18" t="n">
        <f aca="false">IFERROR(IF(C99="",0,VLOOKUP(C99,Stock!B:N,13,FALSE())*D99),0)</f>
        <v>0</v>
      </c>
      <c r="K99" s="16"/>
    </row>
    <row r="100" customFormat="false" ht="15" hidden="false" customHeight="true" outlineLevel="0" collapsed="false">
      <c r="A100" s="16"/>
      <c r="B100" s="16"/>
      <c r="C100" s="16"/>
      <c r="D100" s="16"/>
      <c r="E100" s="16" t="str">
        <f aca="false">IF(D100="","",D100)</f>
        <v/>
      </c>
      <c r="F100" s="16"/>
      <c r="G100" s="16"/>
      <c r="H100" s="16"/>
      <c r="I100" s="17" t="n">
        <f aca="false">IFERROR(IF(C100="",0,VLOOKUP(C100,Stock!B:M,12,FALSE())*D100),0)</f>
        <v>0</v>
      </c>
      <c r="J100" s="18" t="n">
        <f aca="false">IFERROR(IF(C100="",0,VLOOKUP(C100,Stock!B:N,13,FALSE())*D100),0)</f>
        <v>0</v>
      </c>
      <c r="K100" s="16"/>
    </row>
    <row r="101" customFormat="false" ht="15" hidden="false" customHeight="true" outlineLevel="0" collapsed="false">
      <c r="A101" s="16"/>
      <c r="B101" s="16"/>
      <c r="C101" s="16"/>
      <c r="D101" s="16"/>
      <c r="E101" s="16" t="str">
        <f aca="false">IF(D101="","",D101)</f>
        <v/>
      </c>
      <c r="F101" s="16"/>
      <c r="G101" s="16"/>
      <c r="H101" s="16"/>
      <c r="I101" s="17" t="n">
        <f aca="false">IFERROR(IF(C101="",0,VLOOKUP(C101,Stock!B:M,12,FALSE())*D101),0)</f>
        <v>0</v>
      </c>
      <c r="J101" s="18" t="n">
        <f aca="false">IFERROR(IF(C101="",0,VLOOKUP(C101,Stock!B:N,13,FALSE())*D101),0)</f>
        <v>0</v>
      </c>
      <c r="K101" s="16"/>
    </row>
    <row r="102" customFormat="false" ht="15" hidden="false" customHeight="true" outlineLevel="0" collapsed="false">
      <c r="A102" s="16"/>
      <c r="B102" s="16"/>
      <c r="C102" s="16"/>
      <c r="D102" s="16"/>
      <c r="E102" s="16" t="str">
        <f aca="false">IF(D102="","",D102)</f>
        <v/>
      </c>
      <c r="F102" s="16"/>
      <c r="G102" s="16"/>
      <c r="H102" s="16"/>
      <c r="I102" s="17" t="n">
        <f aca="false">IFERROR(IF(C102="",0,VLOOKUP(C102,Stock!B:M,12,FALSE())*D102),0)</f>
        <v>0</v>
      </c>
      <c r="J102" s="18" t="n">
        <f aca="false">IFERROR(IF(C102="",0,VLOOKUP(C102,Stock!B:N,13,FALSE())*D102),0)</f>
        <v>0</v>
      </c>
      <c r="K102" s="16"/>
    </row>
  </sheetData>
  <mergeCells count="1">
    <mergeCell ref="A1:K1"/>
  </mergeCells>
  <conditionalFormatting sqref="B3:B1000">
    <cfRule type="cellIs" priority="2" operator="equal" aboveAverage="0" equalAverage="0" bottom="0" percent="0" rank="0" text="" dxfId="4">
      <formula>"IN"</formula>
    </cfRule>
    <cfRule type="cellIs" priority="3" operator="equal" aboveAverage="0" equalAverage="0" bottom="0" percent="0" rank="0" text="" dxfId="5">
      <formula>"OUT"</formula>
    </cfRule>
  </conditionalFormatting>
  <dataValidations count="3">
    <dataValidation allowBlank="true" errorStyle="stop" operator="between" showDropDown="false" showErrorMessage="false" showInputMessage="false" sqref="B3:B1000" type="list">
      <formula1>"IN,OUT"</formula1>
      <formula2>0</formula2>
    </dataValidation>
    <dataValidation allowBlank="true" errorStyle="stop" operator="between" showDropDown="false" showErrorMessage="false" showInputMessage="false" sqref="F3:F1000" type="list">
      <formula1>Config!$D$3:$D$30</formula1>
      <formula2>0</formula2>
    </dataValidation>
    <dataValidation allowBlank="true" errorStyle="stop" operator="between" showDropDown="false" showErrorMessage="false" showInputMessage="false" sqref="C3:C1000" type="list">
      <formula1>Stock!$B$3:$B$30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10" min="9" style="1" width="16"/>
  </cols>
  <sheetData>
    <row r="1" customFormat="false" ht="17.25" hidden="false" customHeight="true" outlineLevel="0" collapsed="false">
      <c r="A1" s="11" t="s">
        <v>135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6" t="s">
        <v>136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7.75" hidden="false" customHeight="true" outlineLevel="0" collapsed="false">
      <c r="A3" s="12" t="s">
        <v>52</v>
      </c>
      <c r="B3" s="12" t="s">
        <v>53</v>
      </c>
      <c r="C3" s="12" t="s">
        <v>137</v>
      </c>
      <c r="D3" s="12" t="s">
        <v>59</v>
      </c>
      <c r="E3" s="12" t="s">
        <v>138</v>
      </c>
      <c r="F3" s="12" t="s">
        <v>139</v>
      </c>
      <c r="G3" s="12" t="s">
        <v>61</v>
      </c>
      <c r="H3" s="12" t="s">
        <v>140</v>
      </c>
      <c r="I3" s="12" t="s">
        <v>132</v>
      </c>
      <c r="J3" s="12" t="s">
        <v>133</v>
      </c>
    </row>
    <row r="4" customFormat="false" ht="60" hidden="false" customHeight="true" outlineLevel="0" collapsed="false">
      <c r="A4" s="16"/>
      <c r="B4" s="16" t="s">
        <v>66</v>
      </c>
      <c r="C4" s="24" t="n">
        <f aca="false">VLOOKUP(B4,Stock!B:C,2,FALSE())</f>
        <v>1</v>
      </c>
      <c r="D4" s="24" t="n">
        <f aca="false">IFERROR(VLOOKUP(B4,Stock!B:H,7,FALSE()),0)</f>
        <v>0</v>
      </c>
      <c r="E4" s="24" t="n">
        <f aca="false">MAX(0,D4-C4, IFERROR(VLOOKUP(B4,Stock!B:I,8,FALSE()),0))</f>
        <v>5</v>
      </c>
      <c r="F4" s="24" t="n">
        <f aca="false">E4</f>
        <v>5</v>
      </c>
      <c r="G4" s="24" t="n">
        <f aca="false">VLOOKUP(B4,Stock!B:J,9,FALSE())</f>
        <v>10</v>
      </c>
      <c r="H4" s="28" t="str">
        <f aca="false">VLOOKUP(B4,Stock!B:L,11,FALSE())</f>
        <v>USD 686,79</v>
      </c>
      <c r="I4" s="17" t="n">
        <f aca="false">F4*VLOOKUP(B4,Stock!B:M,12,FALSE())</f>
        <v>3433.95</v>
      </c>
      <c r="J4" s="18" t="n">
        <f aca="false">F4*VLOOKUP(B4,Stock!B:N,13,FALSE())</f>
        <v>0</v>
      </c>
    </row>
    <row r="5" customFormat="false" ht="60" hidden="false" customHeight="true" outlineLevel="0" collapsed="false">
      <c r="A5" s="16"/>
      <c r="B5" s="16" t="s">
        <v>71</v>
      </c>
      <c r="C5" s="24" t="n">
        <f aca="false">VLOOKUP(B5,Stock!B:C,2,FALSE())</f>
        <v>6</v>
      </c>
      <c r="D5" s="24" t="n">
        <f aca="false">IFERROR(VLOOKUP(B5,Stock!B:H,7,FALSE()),0)</f>
        <v>0</v>
      </c>
      <c r="E5" s="24" t="n">
        <f aca="false">MAX(0,D5-C5, IFERROR(VLOOKUP(B5,Stock!B:I,8,FALSE()),0))</f>
        <v>1</v>
      </c>
      <c r="F5" s="24" t="n">
        <f aca="false">E5</f>
        <v>1</v>
      </c>
      <c r="G5" s="24" t="n">
        <f aca="false">VLOOKUP(B5,Stock!B:J,9,FALSE())</f>
        <v>0</v>
      </c>
      <c r="H5" s="28" t="str">
        <f aca="false">VLOOKUP(B5,Stock!B:L,11,FALSE())</f>
        <v>USD 895,44</v>
      </c>
      <c r="I5" s="17" t="n">
        <f aca="false">F5*VLOOKUP(B5,Stock!B:M,12,FALSE())</f>
        <v>895.44</v>
      </c>
      <c r="J5" s="18" t="n">
        <f aca="false">F5*VLOOKUP(B5,Stock!B:N,13,FALSE())</f>
        <v>0</v>
      </c>
    </row>
    <row r="6" customFormat="false" ht="60" hidden="false" customHeight="true" outlineLevel="0" collapsed="false">
      <c r="A6" s="16"/>
      <c r="B6" s="16" t="s">
        <v>74</v>
      </c>
      <c r="C6" s="24" t="n">
        <f aca="false">VLOOKUP(B6,Stock!B:C,2,FALSE())</f>
        <v>1</v>
      </c>
      <c r="D6" s="24" t="n">
        <f aca="false">IFERROR(VLOOKUP(B6,Stock!B:H,7,FALSE()),0)</f>
        <v>0</v>
      </c>
      <c r="E6" s="24" t="n">
        <f aca="false">MAX(0,D6-C6, IFERROR(VLOOKUP(B6,Stock!B:I,8,FALSE()),0))</f>
        <v>3</v>
      </c>
      <c r="F6" s="24" t="n">
        <f aca="false">E6</f>
        <v>3</v>
      </c>
      <c r="G6" s="24" t="n">
        <f aca="false">VLOOKUP(B6,Stock!B:J,9,FALSE())</f>
        <v>3</v>
      </c>
      <c r="H6" s="28" t="str">
        <f aca="false">VLOOKUP(B6,Stock!B:L,11,FALSE())</f>
        <v>USD 177,76</v>
      </c>
      <c r="I6" s="17" t="n">
        <f aca="false">F6*VLOOKUP(B6,Stock!B:M,12,FALSE())</f>
        <v>533.28</v>
      </c>
      <c r="J6" s="18" t="n">
        <f aca="false">F6*VLOOKUP(B6,Stock!B:N,13,FALSE())</f>
        <v>0</v>
      </c>
    </row>
    <row r="7" customFormat="false" ht="60" hidden="false" customHeight="true" outlineLevel="0" collapsed="false">
      <c r="A7" s="16"/>
      <c r="B7" s="16" t="s">
        <v>76</v>
      </c>
      <c r="C7" s="24" t="n">
        <f aca="false">VLOOKUP(B7,Stock!B:C,2,FALSE())</f>
        <v>30</v>
      </c>
      <c r="D7" s="24" t="n">
        <f aca="false">IFERROR(VLOOKUP(B7,Stock!B:H,7,FALSE()),0)</f>
        <v>0</v>
      </c>
      <c r="E7" s="24" t="n">
        <f aca="false">MAX(0,D7-C7, IFERROR(VLOOKUP(B7,Stock!B:I,8,FALSE()),0))</f>
        <v>15</v>
      </c>
      <c r="F7" s="24" t="n">
        <f aca="false">E7</f>
        <v>15</v>
      </c>
      <c r="G7" s="24" t="n">
        <f aca="false">VLOOKUP(B7,Stock!B:J,9,FALSE())</f>
        <v>20</v>
      </c>
      <c r="H7" s="28" t="str">
        <f aca="false">VLOOKUP(B7,Stock!B:L,11,FALSE())</f>
        <v>USD 260,31</v>
      </c>
      <c r="I7" s="17" t="n">
        <f aca="false">F7*VLOOKUP(B7,Stock!B:M,12,FALSE())</f>
        <v>3904.65</v>
      </c>
      <c r="J7" s="18" t="n">
        <f aca="false">F7*VLOOKUP(B7,Stock!B:N,13,FALSE())</f>
        <v>0</v>
      </c>
    </row>
    <row r="8" customFormat="false" ht="60" hidden="false" customHeight="true" outlineLevel="0" collapsed="false">
      <c r="A8" s="16"/>
      <c r="B8" s="16" t="s">
        <v>78</v>
      </c>
      <c r="C8" s="24" t="n">
        <f aca="false">VLOOKUP(B8,Stock!B:C,2,FALSE())</f>
        <v>4</v>
      </c>
      <c r="D8" s="24" t="n">
        <f aca="false">IFERROR(VLOOKUP(B8,Stock!B:H,7,FALSE()),0)</f>
        <v>0</v>
      </c>
      <c r="E8" s="24" t="n">
        <f aca="false">MAX(0,D8-C8, IFERROR(VLOOKUP(B8,Stock!B:I,8,FALSE()),0))</f>
        <v>10</v>
      </c>
      <c r="F8" s="24" t="n">
        <f aca="false">E8</f>
        <v>10</v>
      </c>
      <c r="G8" s="24" t="n">
        <f aca="false">VLOOKUP(B8,Stock!B:J,9,FALSE())</f>
        <v>20</v>
      </c>
      <c r="H8" s="28" t="str">
        <f aca="false">VLOOKUP(B8,Stock!B:L,11,FALSE())</f>
        <v>USD 271,77</v>
      </c>
      <c r="I8" s="17" t="n">
        <f aca="false">F8*VLOOKUP(B8,Stock!B:M,12,FALSE())</f>
        <v>2717.7</v>
      </c>
      <c r="J8" s="18" t="n">
        <f aca="false">F8*VLOOKUP(B8,Stock!B:N,13,FALSE())</f>
        <v>0</v>
      </c>
    </row>
    <row r="9" customFormat="false" ht="60" hidden="false" customHeight="true" outlineLevel="0" collapsed="false">
      <c r="A9" s="16"/>
      <c r="B9" s="16" t="s">
        <v>80</v>
      </c>
      <c r="C9" s="24" t="n">
        <f aca="false">VLOOKUP(B9,Stock!B:C,2,FALSE())</f>
        <v>6</v>
      </c>
      <c r="D9" s="24" t="n">
        <f aca="false">IFERROR(VLOOKUP(B9,Stock!B:H,7,FALSE()),0)</f>
        <v>0</v>
      </c>
      <c r="E9" s="24" t="n">
        <f aca="false">MAX(0,D9-C9, IFERROR(VLOOKUP(B9,Stock!B:I,8,FALSE()),0))</f>
        <v>3</v>
      </c>
      <c r="F9" s="24" t="n">
        <f aca="false">E9</f>
        <v>3</v>
      </c>
      <c r="G9" s="24" t="n">
        <f aca="false">VLOOKUP(B9,Stock!B:J,9,FALSE())</f>
        <v>5</v>
      </c>
      <c r="H9" s="28" t="str">
        <f aca="false">VLOOKUP(B9,Stock!B:L,11,FALSE())</f>
        <v>USD 177,76</v>
      </c>
      <c r="I9" s="17" t="n">
        <f aca="false">F9*VLOOKUP(B9,Stock!B:M,12,FALSE())</f>
        <v>533.28</v>
      </c>
      <c r="J9" s="18" t="n">
        <f aca="false">F9*VLOOKUP(B9,Stock!B:N,13,FALSE())</f>
        <v>0</v>
      </c>
    </row>
    <row r="10" customFormat="false" ht="60" hidden="false" customHeight="true" outlineLevel="0" collapsed="false">
      <c r="A10" s="16"/>
      <c r="B10" s="16" t="s">
        <v>81</v>
      </c>
      <c r="C10" s="24" t="n">
        <f aca="false">VLOOKUP(B10,Stock!B:C,2,FALSE())</f>
        <v>5</v>
      </c>
      <c r="D10" s="24" t="n">
        <f aca="false">IFERROR(VLOOKUP(B10,Stock!B:H,7,FALSE()),0)</f>
        <v>0</v>
      </c>
      <c r="E10" s="24" t="n">
        <f aca="false">MAX(0,D10-C10, IFERROR(VLOOKUP(B10,Stock!B:I,8,FALSE()),0))</f>
        <v>3</v>
      </c>
      <c r="F10" s="24" t="n">
        <f aca="false">E10</f>
        <v>3</v>
      </c>
      <c r="G10" s="24" t="n">
        <f aca="false">VLOOKUP(B10,Stock!B:J,9,FALSE())</f>
        <v>5</v>
      </c>
      <c r="H10" s="28" t="str">
        <f aca="false">VLOOKUP(B10,Stock!B:L,11,FALSE())</f>
        <v>USD 212,16</v>
      </c>
      <c r="I10" s="17" t="n">
        <f aca="false">F10*VLOOKUP(B10,Stock!B:M,12,FALSE())</f>
        <v>636.48</v>
      </c>
      <c r="J10" s="18" t="n">
        <f aca="false">F10*VLOOKUP(B10,Stock!B:N,13,FALSE())</f>
        <v>0</v>
      </c>
    </row>
    <row r="11" customFormat="false" ht="60" hidden="false" customHeight="true" outlineLevel="0" collapsed="false">
      <c r="A11" s="16"/>
      <c r="B11" s="16" t="s">
        <v>83</v>
      </c>
      <c r="C11" s="24" t="n">
        <f aca="false">VLOOKUP(B11,Stock!B:C,2,FALSE())</f>
        <v>1</v>
      </c>
      <c r="D11" s="24" t="n">
        <f aca="false">IFERROR(VLOOKUP(B11,Stock!B:H,7,FALSE()),0)</f>
        <v>0</v>
      </c>
      <c r="E11" s="24" t="n">
        <f aca="false">MAX(0,D11-C11, IFERROR(VLOOKUP(B11,Stock!B:I,8,FALSE()),0))</f>
        <v>0</v>
      </c>
      <c r="F11" s="24" t="n">
        <f aca="false">E11</f>
        <v>0</v>
      </c>
      <c r="G11" s="24" t="n">
        <f aca="false">VLOOKUP(B11,Stock!B:J,9,FALSE())</f>
        <v>0</v>
      </c>
      <c r="H11" s="28" t="n">
        <f aca="false">VLOOKUP(B11,Stock!B:L,11,FALSE())</f>
        <v>0</v>
      </c>
      <c r="I11" s="17" t="n">
        <f aca="false">F11*VLOOKUP(B11,Stock!B:M,12,FALSE())</f>
        <v>0</v>
      </c>
      <c r="J11" s="18" t="n">
        <f aca="false">F11*VLOOKUP(B11,Stock!B:N,13,FALSE())</f>
        <v>0</v>
      </c>
    </row>
    <row r="12" customFormat="false" ht="60" hidden="false" customHeight="true" outlineLevel="0" collapsed="false">
      <c r="A12" s="16"/>
      <c r="B12" s="16" t="s">
        <v>84</v>
      </c>
      <c r="C12" s="24" t="n">
        <f aca="false">VLOOKUP(B12,Stock!B:C,2,FALSE())</f>
        <v>30</v>
      </c>
      <c r="D12" s="24" t="n">
        <f aca="false">IFERROR(VLOOKUP(B12,Stock!B:H,7,FALSE()),0)</f>
        <v>0</v>
      </c>
      <c r="E12" s="24" t="n">
        <f aca="false">MAX(0,D12-C12, IFERROR(VLOOKUP(B12,Stock!B:I,8,FALSE()),0))</f>
        <v>30</v>
      </c>
      <c r="F12" s="24" t="n">
        <f aca="false">E12</f>
        <v>30</v>
      </c>
      <c r="G12" s="24" t="n">
        <f aca="false">VLOOKUP(B12,Stock!B:J,9,FALSE())</f>
        <v>80</v>
      </c>
      <c r="H12" s="28" t="str">
        <f aca="false">VLOOKUP(B12,Stock!B:L,11,FALSE())</f>
        <v>USD 72,29</v>
      </c>
      <c r="I12" s="17" t="n">
        <f aca="false">F12*VLOOKUP(B12,Stock!B:M,12,FALSE())</f>
        <v>2168.7</v>
      </c>
      <c r="J12" s="18" t="n">
        <f aca="false">F12*VLOOKUP(B12,Stock!B:N,13,FALSE())</f>
        <v>0</v>
      </c>
    </row>
    <row r="13" customFormat="false" ht="60" hidden="false" customHeight="true" outlineLevel="0" collapsed="false">
      <c r="A13" s="16"/>
      <c r="B13" s="16" t="s">
        <v>87</v>
      </c>
      <c r="C13" s="24" t="n">
        <f aca="false">VLOOKUP(B13,Stock!B:C,2,FALSE())</f>
        <v>5</v>
      </c>
      <c r="D13" s="24" t="n">
        <f aca="false">IFERROR(VLOOKUP(B13,Stock!B:H,7,FALSE()),0)</f>
        <v>0</v>
      </c>
      <c r="E13" s="24" t="n">
        <f aca="false">MAX(0,D13-C13, IFERROR(VLOOKUP(B13,Stock!B:I,8,FALSE()),0))</f>
        <v>5</v>
      </c>
      <c r="F13" s="24" t="n">
        <f aca="false">E13</f>
        <v>5</v>
      </c>
      <c r="G13" s="24" t="n">
        <f aca="false">VLOOKUP(B13,Stock!B:J,9,FALSE())</f>
        <v>10</v>
      </c>
      <c r="H13" s="28" t="str">
        <f aca="false">VLOOKUP(B13,Stock!B:L,11,FALSE())</f>
        <v>USD 161,71</v>
      </c>
      <c r="I13" s="17" t="n">
        <f aca="false">F13*VLOOKUP(B13,Stock!B:M,12,FALSE())</f>
        <v>808.55</v>
      </c>
      <c r="J13" s="18" t="n">
        <f aca="false">F13*VLOOKUP(B13,Stock!B:N,13,FALSE())</f>
        <v>0</v>
      </c>
    </row>
    <row r="14" customFormat="false" ht="60" hidden="false" customHeight="true" outlineLevel="0" collapsed="false">
      <c r="A14" s="16"/>
      <c r="B14" s="16" t="s">
        <v>89</v>
      </c>
      <c r="C14" s="24" t="n">
        <f aca="false">VLOOKUP(B14,Stock!B:C,2,FALSE())</f>
        <v>0</v>
      </c>
      <c r="D14" s="24" t="n">
        <f aca="false">IFERROR(VLOOKUP(B14,Stock!B:H,7,FALSE()),0)</f>
        <v>0</v>
      </c>
      <c r="E14" s="24" t="n">
        <f aca="false">MAX(0,D14-C14, IFERROR(VLOOKUP(B14,Stock!B:I,8,FALSE()),0))</f>
        <v>29</v>
      </c>
      <c r="F14" s="24" t="n">
        <f aca="false">E14</f>
        <v>29</v>
      </c>
      <c r="G14" s="24" t="n">
        <f aca="false">VLOOKUP(B14,Stock!B:J,9,FALSE())</f>
        <v>50</v>
      </c>
      <c r="H14" s="28" t="str">
        <f aca="false">VLOOKUP(B14,Stock!B:L,11,FALSE())</f>
        <v>USD 349,73</v>
      </c>
      <c r="I14" s="17" t="n">
        <f aca="false">F14*VLOOKUP(B14,Stock!B:M,12,FALSE())</f>
        <v>10142.17</v>
      </c>
      <c r="J14" s="18" t="n">
        <f aca="false">F14*VLOOKUP(B14,Stock!B:N,13,FALSE())</f>
        <v>0</v>
      </c>
    </row>
    <row r="15" customFormat="false" ht="60" hidden="false" customHeight="true" outlineLevel="0" collapsed="false">
      <c r="A15" s="16"/>
      <c r="B15" s="16" t="s">
        <v>91</v>
      </c>
      <c r="C15" s="24" t="n">
        <f aca="false">VLOOKUP(B15,Stock!B:C,2,FALSE())</f>
        <v>15</v>
      </c>
      <c r="D15" s="24" t="n">
        <f aca="false">IFERROR(VLOOKUP(B15,Stock!B:H,7,FALSE()),0)</f>
        <v>0</v>
      </c>
      <c r="E15" s="24" t="n">
        <f aca="false">MAX(0,D15-C15, IFERROR(VLOOKUP(B15,Stock!B:I,8,FALSE()),0))</f>
        <v>4</v>
      </c>
      <c r="F15" s="24" t="n">
        <f aca="false">E15</f>
        <v>4</v>
      </c>
      <c r="G15" s="24" t="n">
        <f aca="false">VLOOKUP(B15,Stock!B:J,9,FALSE())</f>
        <v>10</v>
      </c>
      <c r="H15" s="28" t="str">
        <f aca="false">VLOOKUP(B15,Stock!B:L,11,FALSE())</f>
        <v>USD 393,3</v>
      </c>
      <c r="I15" s="17" t="n">
        <f aca="false">F15*VLOOKUP(B15,Stock!B:M,12,FALSE())</f>
        <v>1573.2</v>
      </c>
      <c r="J15" s="18" t="n">
        <f aca="false">F15*VLOOKUP(B15,Stock!B:N,13,FALSE())</f>
        <v>0</v>
      </c>
    </row>
    <row r="16" customFormat="false" ht="60" hidden="false" customHeight="true" outlineLevel="0" collapsed="false">
      <c r="A16" s="16"/>
      <c r="B16" s="16" t="s">
        <v>93</v>
      </c>
      <c r="C16" s="24" t="n">
        <f aca="false">VLOOKUP(B16,Stock!B:C,2,FALSE())</f>
        <v>2</v>
      </c>
      <c r="D16" s="24" t="n">
        <f aca="false">IFERROR(VLOOKUP(B16,Stock!B:H,7,FALSE()),0)</f>
        <v>0</v>
      </c>
      <c r="E16" s="24" t="n">
        <f aca="false">MAX(0,D16-C16, IFERROR(VLOOKUP(B16,Stock!B:I,8,FALSE()),0))</f>
        <v>0</v>
      </c>
      <c r="F16" s="24" t="n">
        <f aca="false">E16</f>
        <v>0</v>
      </c>
      <c r="G16" s="24" t="n">
        <f aca="false">VLOOKUP(B16,Stock!B:J,9,FALSE())</f>
        <v>10</v>
      </c>
      <c r="H16" s="28" t="str">
        <f aca="false">VLOOKUP(B16,Stock!B:L,11,FALSE())</f>
        <v>$8000 C/U APROX.</v>
      </c>
      <c r="I16" s="17" t="n">
        <f aca="false">F16*VLOOKUP(B16,Stock!B:M,12,FALSE())</f>
        <v>0</v>
      </c>
      <c r="J16" s="18" t="n">
        <f aca="false">F16*VLOOKUP(B16,Stock!B:N,13,FALSE())</f>
        <v>0</v>
      </c>
    </row>
    <row r="17" customFormat="false" ht="60" hidden="false" customHeight="true" outlineLevel="0" collapsed="false">
      <c r="A17" s="16"/>
      <c r="B17" s="16" t="s">
        <v>97</v>
      </c>
      <c r="C17" s="24" t="n">
        <f aca="false">VLOOKUP(B17,Stock!B:C,2,FALSE())</f>
        <v>0</v>
      </c>
      <c r="D17" s="24" t="n">
        <f aca="false">IFERROR(VLOOKUP(B17,Stock!B:H,7,FALSE()),0)</f>
        <v>0</v>
      </c>
      <c r="E17" s="24" t="n">
        <f aca="false">MAX(0,D17-C17, IFERROR(VLOOKUP(B17,Stock!B:I,8,FALSE()),0))</f>
        <v>5</v>
      </c>
      <c r="F17" s="24" t="n">
        <f aca="false">E17</f>
        <v>5</v>
      </c>
      <c r="G17" s="24" t="n">
        <f aca="false">VLOOKUP(B17,Stock!B:J,9,FALSE())</f>
        <v>10</v>
      </c>
      <c r="H17" s="28" t="str">
        <f aca="false">VLOOKUP(B17,Stock!B:L,11,FALSE())</f>
        <v>$9500 C/U APROX.</v>
      </c>
      <c r="I17" s="17" t="n">
        <f aca="false">F17*VLOOKUP(B17,Stock!B:M,12,FALSE())</f>
        <v>47500</v>
      </c>
      <c r="J17" s="18" t="n">
        <f aca="false">F17*VLOOKUP(B17,Stock!B:N,13,FALSE())</f>
        <v>0</v>
      </c>
    </row>
    <row r="18" customFormat="false" ht="60" hidden="false" customHeight="true" outlineLevel="0" collapsed="false">
      <c r="A18" s="16"/>
      <c r="B18" s="16" t="s">
        <v>99</v>
      </c>
      <c r="C18" s="24" t="n">
        <f aca="false">VLOOKUP(B18,Stock!B:C,2,FALSE())</f>
        <v>0</v>
      </c>
      <c r="D18" s="24" t="n">
        <f aca="false">IFERROR(VLOOKUP(B18,Stock!B:H,7,FALSE()),0)</f>
        <v>0</v>
      </c>
      <c r="E18" s="24" t="n">
        <f aca="false">MAX(0,D18-C18, IFERROR(VLOOKUP(B18,Stock!B:I,8,FALSE()),0))</f>
        <v>5</v>
      </c>
      <c r="F18" s="24" t="n">
        <f aca="false">E18</f>
        <v>5</v>
      </c>
      <c r="G18" s="24" t="n">
        <f aca="false">VLOOKUP(B18,Stock!B:J,9,FALSE())</f>
        <v>10</v>
      </c>
      <c r="H18" s="28" t="str">
        <f aca="false">VLOOKUP(B18,Stock!B:L,11,FALSE())</f>
        <v>$15000 C/U APROX.</v>
      </c>
      <c r="I18" s="17" t="n">
        <f aca="false">F18*VLOOKUP(B18,Stock!B:M,12,FALSE())</f>
        <v>75000</v>
      </c>
      <c r="J18" s="18" t="n">
        <f aca="false">F18*VLOOKUP(B18,Stock!B:N,13,FALSE())</f>
        <v>0</v>
      </c>
    </row>
    <row r="19" customFormat="false" ht="60" hidden="false" customHeight="true" outlineLevel="0" collapsed="false">
      <c r="A19" s="16"/>
      <c r="B19" s="16" t="s">
        <v>101</v>
      </c>
      <c r="C19" s="24" t="n">
        <f aca="false">VLOOKUP(B19,Stock!B:C,2,FALSE())</f>
        <v>5</v>
      </c>
      <c r="D19" s="24" t="n">
        <f aca="false">IFERROR(VLOOKUP(B19,Stock!B:H,7,FALSE()),0)</f>
        <v>0</v>
      </c>
      <c r="E19" s="24" t="n">
        <f aca="false">MAX(0,D19-C19, IFERROR(VLOOKUP(B19,Stock!B:I,8,FALSE()),0))</f>
        <v>3</v>
      </c>
      <c r="F19" s="24" t="n">
        <f aca="false">E19</f>
        <v>3</v>
      </c>
      <c r="G19" s="24" t="n">
        <f aca="false">VLOOKUP(B19,Stock!B:J,9,FALSE())</f>
        <v>10</v>
      </c>
      <c r="H19" s="28" t="n">
        <f aca="false">VLOOKUP(B19,Stock!B:L,11,FALSE())</f>
        <v>59900</v>
      </c>
      <c r="I19" s="17" t="n">
        <f aca="false">F19*VLOOKUP(B19,Stock!B:M,12,FALSE())</f>
        <v>179700</v>
      </c>
      <c r="J19" s="18" t="n">
        <f aca="false">F19*VLOOKUP(B19,Stock!B:N,13,FALSE())</f>
        <v>0</v>
      </c>
    </row>
    <row r="20" customFormat="false" ht="60" hidden="false" customHeight="true" outlineLevel="0" collapsed="false">
      <c r="A20" s="16"/>
      <c r="B20" s="16" t="s">
        <v>103</v>
      </c>
      <c r="C20" s="24" t="n">
        <f aca="false">VLOOKUP(B20,Stock!B:C,2,FALSE())</f>
        <v>4</v>
      </c>
      <c r="D20" s="24" t="n">
        <f aca="false">IFERROR(VLOOKUP(B20,Stock!B:H,7,FALSE()),0)</f>
        <v>0</v>
      </c>
      <c r="E20" s="24" t="n">
        <f aca="false">MAX(0,D20-C20, IFERROR(VLOOKUP(B20,Stock!B:I,8,FALSE()),0))</f>
        <v>3</v>
      </c>
      <c r="F20" s="24" t="n">
        <f aca="false">E20</f>
        <v>3</v>
      </c>
      <c r="G20" s="24" t="n">
        <f aca="false">VLOOKUP(B20,Stock!B:J,9,FALSE())</f>
        <v>10</v>
      </c>
      <c r="H20" s="28" t="n">
        <f aca="false">VLOOKUP(B20,Stock!B:L,11,FALSE())</f>
        <v>49900</v>
      </c>
      <c r="I20" s="17" t="n">
        <f aca="false">F20*VLOOKUP(B20,Stock!B:M,12,FALSE())</f>
        <v>149700</v>
      </c>
      <c r="J20" s="18" t="n">
        <f aca="false">F20*VLOOKUP(B20,Stock!B:N,13,FALSE())</f>
        <v>0</v>
      </c>
    </row>
    <row r="21" customFormat="false" ht="60" hidden="false" customHeight="true" outlineLevel="0" collapsed="false">
      <c r="A21" s="16"/>
      <c r="B21" s="16" t="s">
        <v>105</v>
      </c>
      <c r="C21" s="24" t="n">
        <f aca="false">VLOOKUP(B21,Stock!B:C,2,FALSE())</f>
        <v>39</v>
      </c>
      <c r="D21" s="24" t="n">
        <f aca="false">IFERROR(VLOOKUP(B21,Stock!B:H,7,FALSE()),0)</f>
        <v>0</v>
      </c>
      <c r="E21" s="24" t="n">
        <f aca="false">MAX(0,D21-C21, IFERROR(VLOOKUP(B21,Stock!B:I,8,FALSE()),0))</f>
        <v>30</v>
      </c>
      <c r="F21" s="24" t="n">
        <f aca="false">E21</f>
        <v>30</v>
      </c>
      <c r="G21" s="24" t="n">
        <f aca="false">VLOOKUP(B21,Stock!B:J,9,FALSE())</f>
        <v>20</v>
      </c>
      <c r="H21" s="28" t="n">
        <f aca="false">VLOOKUP(B21,Stock!B:L,11,FALSE())</f>
        <v>106177</v>
      </c>
      <c r="I21" s="17" t="n">
        <f aca="false">F21*VLOOKUP(B21,Stock!B:M,12,FALSE())</f>
        <v>3185310</v>
      </c>
      <c r="J21" s="18" t="n">
        <f aca="false">F21*VLOOKUP(B21,Stock!B:N,13,FALSE())</f>
        <v>0</v>
      </c>
    </row>
    <row r="22" customFormat="false" ht="60" hidden="false" customHeight="true" outlineLevel="0" collapsed="false">
      <c r="A22" s="16"/>
      <c r="B22" s="16" t="s">
        <v>108</v>
      </c>
      <c r="C22" s="24" t="n">
        <f aca="false">VLOOKUP(B22,Stock!B:C,2,FALSE())</f>
        <v>47</v>
      </c>
      <c r="D22" s="24" t="n">
        <f aca="false">IFERROR(VLOOKUP(B22,Stock!B:H,7,FALSE()),0)</f>
        <v>0</v>
      </c>
      <c r="E22" s="24" t="n">
        <f aca="false">MAX(0,D22-C22, IFERROR(VLOOKUP(B22,Stock!B:I,8,FALSE()),0))</f>
        <v>0</v>
      </c>
      <c r="F22" s="24" t="n">
        <f aca="false">E22</f>
        <v>0</v>
      </c>
      <c r="G22" s="24" t="n">
        <f aca="false">VLOOKUP(B22,Stock!B:J,9,FALSE())</f>
        <v>0</v>
      </c>
      <c r="H22" s="28" t="n">
        <f aca="false">VLOOKUP(B22,Stock!B:L,11,FALSE())</f>
        <v>136125</v>
      </c>
      <c r="I22" s="17" t="n">
        <f aca="false">F22*VLOOKUP(B22,Stock!B:M,12,FALSE())</f>
        <v>0</v>
      </c>
      <c r="J22" s="18" t="n">
        <f aca="false">F22*VLOOKUP(B22,Stock!B:N,13,FALSE())</f>
        <v>0</v>
      </c>
    </row>
    <row r="23" customFormat="false" ht="60" hidden="false" customHeight="true" outlineLevel="0" collapsed="false">
      <c r="A23" s="16"/>
      <c r="B23" s="16" t="s">
        <v>109</v>
      </c>
      <c r="C23" s="24" t="n">
        <f aca="false">VLOOKUP(B23,Stock!B:C,2,FALSE())</f>
        <v>0</v>
      </c>
      <c r="D23" s="24" t="n">
        <f aca="false">IFERROR(VLOOKUP(B23,Stock!B:H,7,FALSE()),0)</f>
        <v>0</v>
      </c>
      <c r="E23" s="24" t="n">
        <f aca="false">MAX(0,D23-C23, IFERROR(VLOOKUP(B23,Stock!B:I,8,FALSE()),0))</f>
        <v>0</v>
      </c>
      <c r="F23" s="24" t="n">
        <f aca="false">E23</f>
        <v>0</v>
      </c>
      <c r="G23" s="24" t="n">
        <f aca="false">VLOOKUP(B23,Stock!B:J,9,FALSE())</f>
        <v>30</v>
      </c>
      <c r="H23" s="28" t="n">
        <f aca="false">VLOOKUP(B23,Stock!B:L,11,FALSE())</f>
        <v>55211</v>
      </c>
      <c r="I23" s="17" t="n">
        <f aca="false">F23*VLOOKUP(B23,Stock!B:M,12,FALSE())</f>
        <v>0</v>
      </c>
      <c r="J23" s="18" t="n">
        <f aca="false">F23*VLOOKUP(B23,Stock!B:N,13,FALSE())</f>
        <v>0</v>
      </c>
    </row>
    <row r="24" customFormat="false" ht="60" hidden="false" customHeight="true" outlineLevel="0" collapsed="false">
      <c r="A24" s="16"/>
      <c r="B24" s="16" t="s">
        <v>112</v>
      </c>
      <c r="C24" s="24" t="n">
        <f aca="false">VLOOKUP(B24,Stock!B:C,2,FALSE())</f>
        <v>0</v>
      </c>
      <c r="D24" s="24" t="n">
        <f aca="false">IFERROR(VLOOKUP(B24,Stock!B:H,7,FALSE()),0)</f>
        <v>0</v>
      </c>
      <c r="E24" s="24" t="n">
        <f aca="false">MAX(0,D24-C24, IFERROR(VLOOKUP(B24,Stock!B:I,8,FALSE()),0))</f>
        <v>0</v>
      </c>
      <c r="F24" s="24" t="n">
        <f aca="false">E24</f>
        <v>0</v>
      </c>
      <c r="G24" s="24" t="n">
        <f aca="false">VLOOKUP(B24,Stock!B:J,9,FALSE())</f>
        <v>5</v>
      </c>
      <c r="H24" s="28" t="n">
        <f aca="false">VLOOKUP(B24,Stock!B:L,11,FALSE())</f>
        <v>89250</v>
      </c>
      <c r="I24" s="17" t="n">
        <f aca="false">F24*VLOOKUP(B24,Stock!B:M,12,FALSE())</f>
        <v>0</v>
      </c>
      <c r="J24" s="18" t="n">
        <f aca="false">F24*VLOOKUP(B24,Stock!B:N,13,FALSE())</f>
        <v>0</v>
      </c>
    </row>
    <row r="25" customFormat="false" ht="60" hidden="false" customHeight="true" outlineLevel="0" collapsed="false">
      <c r="A25" s="16"/>
      <c r="B25" s="16" t="s">
        <v>114</v>
      </c>
      <c r="C25" s="24" t="n">
        <f aca="false">VLOOKUP(B25,Stock!B:C,2,FALSE())</f>
        <v>0</v>
      </c>
      <c r="D25" s="24" t="n">
        <f aca="false">IFERROR(VLOOKUP(B25,Stock!B:H,7,FALSE()),0)</f>
        <v>0</v>
      </c>
      <c r="E25" s="24" t="n">
        <f aca="false">MAX(0,D25-C25, IFERROR(VLOOKUP(B25,Stock!B:I,8,FALSE()),0))</f>
        <v>0</v>
      </c>
      <c r="F25" s="24" t="n">
        <f aca="false">E25</f>
        <v>0</v>
      </c>
      <c r="G25" s="24" t="n">
        <f aca="false">VLOOKUP(B25,Stock!B:J,9,FALSE())</f>
        <v>1</v>
      </c>
      <c r="H25" s="28" t="n">
        <f aca="false">VLOOKUP(B25,Stock!B:L,11,FALSE())</f>
        <v>762000</v>
      </c>
      <c r="I25" s="17" t="n">
        <f aca="false">F25*VLOOKUP(B25,Stock!B:M,12,FALSE())</f>
        <v>0</v>
      </c>
      <c r="J25" s="18" t="n">
        <f aca="false">F25*VLOOKUP(B25,Stock!B:N,13,FALSE())</f>
        <v>0</v>
      </c>
    </row>
    <row r="26" customFormat="false" ht="60" hidden="false" customHeight="true" outlineLevel="0" collapsed="false">
      <c r="A26" s="16"/>
      <c r="B26" s="16" t="s">
        <v>117</v>
      </c>
      <c r="C26" s="24" t="n">
        <f aca="false">VLOOKUP(B26,Stock!B:C,2,FALSE())</f>
        <v>0</v>
      </c>
      <c r="D26" s="24" t="n">
        <f aca="false">IFERROR(VLOOKUP(B26,Stock!B:H,7,FALSE()),0)</f>
        <v>0</v>
      </c>
      <c r="E26" s="24" t="n">
        <f aca="false">MAX(0,D26-C26, IFERROR(VLOOKUP(B26,Stock!B:I,8,FALSE()),0))</f>
        <v>0</v>
      </c>
      <c r="F26" s="24" t="n">
        <f aca="false">E26</f>
        <v>0</v>
      </c>
      <c r="G26" s="24" t="n">
        <f aca="false">VLOOKUP(B26,Stock!B:J,9,FALSE())</f>
        <v>1</v>
      </c>
      <c r="H26" s="28" t="n">
        <f aca="false">VLOOKUP(B26,Stock!B:L,11,FALSE())</f>
        <v>1457445</v>
      </c>
      <c r="I26" s="17" t="n">
        <f aca="false">F26*VLOOKUP(B26,Stock!B:M,12,FALSE())</f>
        <v>0</v>
      </c>
      <c r="J26" s="18" t="n">
        <f aca="false">F26*VLOOKUP(B26,Stock!B:N,13,FALSE())</f>
        <v>0</v>
      </c>
    </row>
    <row r="27" customFormat="false" ht="60" hidden="false" customHeight="true" outlineLevel="0" collapsed="false">
      <c r="A27" s="16"/>
      <c r="B27" s="16" t="s">
        <v>119</v>
      </c>
      <c r="C27" s="24" t="n">
        <f aca="false">VLOOKUP(B27,Stock!B:C,2,FALSE())</f>
        <v>2</v>
      </c>
      <c r="D27" s="24" t="n">
        <f aca="false">IFERROR(VLOOKUP(B27,Stock!B:H,7,FALSE()),0)</f>
        <v>0</v>
      </c>
      <c r="E27" s="24" t="n">
        <f aca="false">MAX(0,D27-C27, IFERROR(VLOOKUP(B27,Stock!B:I,8,FALSE()),0))</f>
        <v>2</v>
      </c>
      <c r="F27" s="24" t="n">
        <f aca="false">E27</f>
        <v>2</v>
      </c>
      <c r="G27" s="24" t="n">
        <f aca="false">VLOOKUP(B27,Stock!B:J,9,FALSE())</f>
        <v>2</v>
      </c>
      <c r="H27" s="28" t="n">
        <f aca="false">VLOOKUP(B27,Stock!B:L,11,FALSE())</f>
        <v>491718.6</v>
      </c>
      <c r="I27" s="17" t="n">
        <f aca="false">F27*VLOOKUP(B27,Stock!B:M,12,FALSE())</f>
        <v>983437.2</v>
      </c>
      <c r="J27" s="18" t="n">
        <f aca="false">F27*VLOOKUP(B27,Stock!B:N,13,FALSE())</f>
        <v>0</v>
      </c>
    </row>
    <row r="28" customFormat="false" ht="60" hidden="false" customHeight="true" outlineLevel="0" collapsed="false">
      <c r="A28" s="16"/>
      <c r="B28" s="16" t="s">
        <v>121</v>
      </c>
      <c r="C28" s="24" t="n">
        <f aca="false">VLOOKUP(B28,Stock!B:C,2,FALSE())</f>
        <v>0</v>
      </c>
      <c r="D28" s="24" t="n">
        <f aca="false">IFERROR(VLOOKUP(B28,Stock!B:H,7,FALSE()),0)</f>
        <v>0</v>
      </c>
      <c r="E28" s="24" t="n">
        <f aca="false">MAX(0,D28-C28, IFERROR(VLOOKUP(B28,Stock!B:I,8,FALSE()),0))</f>
        <v>4</v>
      </c>
      <c r="F28" s="24" t="n">
        <f aca="false">E28</f>
        <v>4</v>
      </c>
      <c r="G28" s="24" t="n">
        <f aca="false">VLOOKUP(B28,Stock!B:J,9,FALSE())</f>
        <v>2</v>
      </c>
      <c r="H28" s="28" t="n">
        <f aca="false">VLOOKUP(B28,Stock!B:L,11,FALSE())</f>
        <v>1074496.2</v>
      </c>
      <c r="I28" s="17" t="n">
        <f aca="false">F28*VLOOKUP(B28,Stock!B:M,12,FALSE())</f>
        <v>4297984.8</v>
      </c>
      <c r="J28" s="18" t="n">
        <f aca="false">F28*VLOOKUP(B28,Stock!B:N,13,FALSE())</f>
        <v>0</v>
      </c>
    </row>
    <row r="29" customFormat="false" ht="60" hidden="false" customHeight="true" outlineLevel="0" collapsed="false">
      <c r="A29" s="16"/>
      <c r="B29" s="16" t="s">
        <v>122</v>
      </c>
      <c r="C29" s="24" t="n">
        <f aca="false">VLOOKUP(B29,Stock!B:C,2,FALSE())</f>
        <v>0</v>
      </c>
      <c r="D29" s="24" t="n">
        <f aca="false">IFERROR(VLOOKUP(B29,Stock!B:H,7,FALSE()),0)</f>
        <v>0</v>
      </c>
      <c r="E29" s="24" t="n">
        <f aca="false">MAX(0,D29-C29, IFERROR(VLOOKUP(B29,Stock!B:I,8,FALSE()),0))</f>
        <v>0</v>
      </c>
      <c r="F29" s="24" t="n">
        <f aca="false">E29</f>
        <v>0</v>
      </c>
      <c r="G29" s="24" t="n">
        <f aca="false">VLOOKUP(B29,Stock!B:J,9,FALSE())</f>
        <v>4</v>
      </c>
      <c r="H29" s="28" t="n">
        <f aca="false">VLOOKUP(B29,Stock!B:L,11,FALSE())</f>
        <v>0</v>
      </c>
      <c r="I29" s="17" t="n">
        <f aca="false">F29*VLOOKUP(B29,Stock!B:M,12,FALSE())</f>
        <v>0</v>
      </c>
      <c r="J29" s="18" t="n">
        <f aca="false">F29*VLOOKUP(B29,Stock!B:N,13,FALSE())</f>
        <v>0</v>
      </c>
    </row>
    <row r="30" customFormat="false" ht="60" hidden="false" customHeight="true" outlineLevel="0" collapsed="false">
      <c r="A30" s="16"/>
      <c r="B30" s="16" t="s">
        <v>123</v>
      </c>
      <c r="C30" s="24" t="n">
        <f aca="false">VLOOKUP(B30,Stock!B:C,2,FALSE())</f>
        <v>8</v>
      </c>
      <c r="D30" s="24" t="n">
        <f aca="false">IFERROR(VLOOKUP(B30,Stock!B:H,7,FALSE()),0)</f>
        <v>0</v>
      </c>
      <c r="E30" s="24" t="n">
        <f aca="false">MAX(0,D30-C30, IFERROR(VLOOKUP(B30,Stock!B:I,8,FALSE()),0))</f>
        <v>10</v>
      </c>
      <c r="F30" s="24" t="n">
        <f aca="false">E30</f>
        <v>10</v>
      </c>
      <c r="G30" s="24" t="n">
        <f aca="false">VLOOKUP(B30,Stock!B:J,9,FALSE())</f>
        <v>20</v>
      </c>
      <c r="H30" s="28" t="n">
        <f aca="false">VLOOKUP(B30,Stock!B:L,11,FALSE())</f>
        <v>280000</v>
      </c>
      <c r="I30" s="17" t="n">
        <f aca="false">F30*VLOOKUP(B30,Stock!B:M,12,FALSE())</f>
        <v>2800000</v>
      </c>
      <c r="J30" s="18" t="n">
        <f aca="false">F30*VLOOKUP(B30,Stock!B:N,13,FALSE())</f>
        <v>0</v>
      </c>
    </row>
    <row r="31" customFormat="false" ht="60" hidden="false" customHeight="true" outlineLevel="0" collapsed="false">
      <c r="A31" s="16"/>
      <c r="B31" s="16" t="s">
        <v>124</v>
      </c>
      <c r="C31" s="24" t="n">
        <f aca="false">VLOOKUP(B31,Stock!B:C,2,FALSE())</f>
        <v>1</v>
      </c>
      <c r="D31" s="24" t="n">
        <f aca="false">IFERROR(VLOOKUP(B31,Stock!B:H,7,FALSE()),0)</f>
        <v>0</v>
      </c>
      <c r="E31" s="24" t="n">
        <f aca="false">MAX(0,D31-C31, IFERROR(VLOOKUP(B31,Stock!B:I,8,FALSE()),0))</f>
        <v>10</v>
      </c>
      <c r="F31" s="24" t="n">
        <f aca="false">E31</f>
        <v>10</v>
      </c>
      <c r="G31" s="24" t="n">
        <f aca="false">VLOOKUP(B31,Stock!B:J,9,FALSE())</f>
        <v>20</v>
      </c>
      <c r="H31" s="28" t="n">
        <f aca="false">VLOOKUP(B31,Stock!B:L,11,FALSE())</f>
        <v>277000</v>
      </c>
      <c r="I31" s="17" t="n">
        <f aca="false">F31*VLOOKUP(B31,Stock!B:M,12,FALSE())</f>
        <v>2770000</v>
      </c>
      <c r="J31" s="18" t="n">
        <f aca="false">F31*VLOOKUP(B31,Stock!B:N,13,FALSE())</f>
        <v>0</v>
      </c>
    </row>
    <row r="32" customFormat="false" ht="15" hidden="false" customHeight="true" outlineLevel="0" collapsed="false">
      <c r="A32" s="29" t="s">
        <v>32</v>
      </c>
      <c r="B32" s="29"/>
      <c r="C32" s="29"/>
      <c r="D32" s="29"/>
      <c r="E32" s="29"/>
      <c r="F32" s="29"/>
      <c r="G32" s="29"/>
      <c r="H32" s="29"/>
      <c r="I32" s="30" t="n">
        <f aca="false">SUM(I4:I31)</f>
        <v>14515979.4</v>
      </c>
      <c r="J32" s="31" t="n">
        <f aca="false">SUM(J4:J31)</f>
        <v>0</v>
      </c>
    </row>
  </sheetData>
  <mergeCells count="3">
    <mergeCell ref="A1:J1"/>
    <mergeCell ref="A2:J2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36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1" t="s">
        <v>141</v>
      </c>
      <c r="B1" s="11"/>
      <c r="C1" s="11"/>
      <c r="D1" s="11"/>
    </row>
    <row r="2" customFormat="false" ht="17.25" hidden="false" customHeight="true" outlineLevel="0" collapsed="false">
      <c r="A2" s="32" t="s">
        <v>142</v>
      </c>
      <c r="B2" s="33" t="n">
        <v>1200</v>
      </c>
      <c r="D2" s="22" t="s">
        <v>143</v>
      </c>
    </row>
    <row r="3" customFormat="false" ht="17.25" hidden="false" customHeight="true" outlineLevel="0" collapsed="false">
      <c r="A3" s="32" t="s">
        <v>144</v>
      </c>
      <c r="B3" s="33" t="n">
        <v>20</v>
      </c>
      <c r="D3" s="23" t="s">
        <v>26</v>
      </c>
      <c r="F3" s="6" t="s">
        <v>145</v>
      </c>
      <c r="G3" s="6"/>
      <c r="H3" s="6"/>
      <c r="I3" s="6"/>
      <c r="J3" s="6"/>
      <c r="K3" s="6"/>
    </row>
    <row r="4" customFormat="false" ht="15" hidden="false" customHeight="true" outlineLevel="0" collapsed="false">
      <c r="D4" s="23" t="s">
        <v>27</v>
      </c>
      <c r="F4" s="6"/>
      <c r="G4" s="6"/>
      <c r="H4" s="6"/>
      <c r="I4" s="6"/>
      <c r="J4" s="6"/>
      <c r="K4" s="6"/>
    </row>
    <row r="5" customFormat="false" ht="15" hidden="false" customHeight="true" outlineLevel="0" collapsed="false">
      <c r="A5" s="34" t="s">
        <v>146</v>
      </c>
      <c r="B5" s="34"/>
      <c r="C5" s="34"/>
      <c r="D5" s="23" t="s">
        <v>28</v>
      </c>
    </row>
    <row r="6" customFormat="false" ht="15" hidden="false" customHeight="true" outlineLevel="0" collapsed="false">
      <c r="D6" s="23" t="s">
        <v>29</v>
      </c>
    </row>
    <row r="7" customFormat="false" ht="15" hidden="false" customHeight="true" outlineLevel="0" collapsed="false">
      <c r="D7" s="23" t="s">
        <v>30</v>
      </c>
    </row>
    <row r="8" customFormat="false" ht="15" hidden="false" customHeight="true" outlineLevel="0" collapsed="false">
      <c r="D8" s="23" t="s">
        <v>31</v>
      </c>
    </row>
  </sheetData>
  <mergeCells count="3">
    <mergeCell ref="A1:D1"/>
    <mergeCell ref="F3:K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2026-04-17T18:21:25Z</dcterms:created>
  <dc:creator>openpyxl</dc:creator>
  <dc:description/>
  <dc:language>en-US</dc:language>
  <cp:lastModifiedBy/>
  <dcterms:modified xsi:type="dcterms:W3CDTF">2026-04-23T14:09:12Z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